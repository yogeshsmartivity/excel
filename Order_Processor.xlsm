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9F0DA792-E355-4941-8E11-870AD9BC3425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0" i="1" l="1"/>
  <c r="K30" i="1"/>
  <c r="D30" i="1"/>
  <c r="C30" i="1"/>
  <c r="M29" i="1"/>
  <c r="L29" i="1"/>
  <c r="K29" i="1"/>
  <c r="I29" i="1"/>
  <c r="H29" i="1"/>
  <c r="G29" i="1"/>
  <c r="F29" i="1"/>
  <c r="M28" i="1"/>
  <c r="L28" i="1"/>
  <c r="K28" i="1"/>
  <c r="I28" i="1"/>
  <c r="H28" i="1"/>
  <c r="G28" i="1"/>
  <c r="F28" i="1"/>
  <c r="M27" i="1"/>
  <c r="L27" i="1"/>
  <c r="K27" i="1"/>
  <c r="I27" i="1"/>
  <c r="H27" i="1"/>
  <c r="G27" i="1"/>
  <c r="F27" i="1"/>
  <c r="M26" i="1"/>
  <c r="L26" i="1"/>
  <c r="K26" i="1"/>
  <c r="I26" i="1"/>
  <c r="H26" i="1"/>
  <c r="G26" i="1"/>
  <c r="F26" i="1"/>
  <c r="M25" i="1"/>
  <c r="L25" i="1"/>
  <c r="K25" i="1"/>
  <c r="I25" i="1"/>
  <c r="H25" i="1"/>
  <c r="G25" i="1"/>
  <c r="F25" i="1"/>
  <c r="M24" i="1"/>
  <c r="L24" i="1"/>
  <c r="K24" i="1"/>
  <c r="I24" i="1"/>
  <c r="H24" i="1"/>
  <c r="G24" i="1"/>
  <c r="F24" i="1"/>
  <c r="M23" i="1"/>
  <c r="L23" i="1"/>
  <c r="K23" i="1"/>
  <c r="I23" i="1"/>
  <c r="H23" i="1"/>
  <c r="G23" i="1"/>
  <c r="F23" i="1"/>
  <c r="M22" i="1"/>
  <c r="L22" i="1"/>
  <c r="K22" i="1"/>
  <c r="I22" i="1"/>
  <c r="H22" i="1"/>
  <c r="G22" i="1"/>
  <c r="F22" i="1"/>
  <c r="M21" i="1"/>
  <c r="L21" i="1"/>
  <c r="K21" i="1"/>
  <c r="I21" i="1"/>
  <c r="H21" i="1"/>
  <c r="G21" i="1"/>
  <c r="F21" i="1"/>
  <c r="M20" i="1"/>
  <c r="L20" i="1"/>
  <c r="K20" i="1"/>
  <c r="I20" i="1"/>
  <c r="H20" i="1"/>
  <c r="G20" i="1"/>
  <c r="F20" i="1"/>
  <c r="M19" i="1"/>
  <c r="L19" i="1"/>
  <c r="K19" i="1"/>
  <c r="I19" i="1"/>
  <c r="H19" i="1"/>
  <c r="G19" i="1"/>
  <c r="F19" i="1"/>
  <c r="M18" i="1"/>
  <c r="L18" i="1"/>
  <c r="K18" i="1"/>
  <c r="I18" i="1"/>
  <c r="H18" i="1"/>
  <c r="G18" i="1"/>
  <c r="F18" i="1"/>
  <c r="M17" i="1"/>
  <c r="L17" i="1"/>
  <c r="K17" i="1"/>
  <c r="I17" i="1"/>
  <c r="H17" i="1"/>
  <c r="G17" i="1"/>
  <c r="F17" i="1"/>
  <c r="M16" i="1"/>
  <c r="L16" i="1"/>
  <c r="K16" i="1"/>
  <c r="I16" i="1"/>
  <c r="H16" i="1"/>
  <c r="G16" i="1"/>
  <c r="F16" i="1"/>
  <c r="M15" i="1"/>
  <c r="L15" i="1"/>
  <c r="K15" i="1"/>
  <c r="I15" i="1"/>
  <c r="H15" i="1"/>
  <c r="G15" i="1"/>
  <c r="F15" i="1"/>
  <c r="L14" i="1"/>
  <c r="K14" i="1"/>
  <c r="I14" i="1"/>
  <c r="H14" i="1"/>
  <c r="G14" i="1"/>
  <c r="F14" i="1"/>
  <c r="M13" i="1"/>
  <c r="L13" i="1"/>
  <c r="K13" i="1"/>
  <c r="I13" i="1"/>
  <c r="H13" i="1"/>
  <c r="G13" i="1"/>
  <c r="F13" i="1"/>
  <c r="M12" i="1"/>
  <c r="L12" i="1"/>
  <c r="K12" i="1"/>
  <c r="I12" i="1"/>
  <c r="H12" i="1"/>
  <c r="G12" i="1"/>
  <c r="F12" i="1"/>
  <c r="M11" i="1"/>
  <c r="L11" i="1"/>
  <c r="K11" i="1"/>
  <c r="I11" i="1"/>
  <c r="H11" i="1"/>
  <c r="G11" i="1"/>
  <c r="F11" i="1"/>
</calcChain>
</file>

<file path=xl/sharedStrings.xml><?xml version="1.0" encoding="utf-8"?>
<sst xmlns="http://schemas.openxmlformats.org/spreadsheetml/2006/main" count="555" uniqueCount="279">
  <si>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</si>
  <si>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</si>
  <si>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</si>
  <si>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</si>
  <si>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</si>
  <si>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</si>
  <si>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</si>
  <si>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</si>
  <si>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</si>
  <si>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</si>
  <si>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</si>
  <si>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</si>
  <si>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</si>
  <si>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</si>
  <si>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</si>
  <si>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</si>
  <si>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</si>
  <si>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</si>
  <si>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</si>
  <si>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</si>
  <si>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</si>
  <si>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</si>
  <si>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</si>
  <si>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</si>
  <si>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</si>
  <si>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</si>
  <si>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</si>
  <si>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</si>
  <si>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</si>
  <si>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</si>
  <si>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</si>
  <si>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</si>
  <si>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</si>
  <si>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</si>
  <si>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</si>
  <si>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</si>
  <si>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</si>
  <si>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</si>
  <si>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</si>
  <si>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</si>
  <si>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</si>
  <si>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</si>
  <si>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</si>
  <si>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</si>
  <si>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</si>
  <si>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</si>
  <si>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</si>
  <si>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</si>
  <si>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</si>
  <si>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</si>
  <si>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</si>
  <si>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</si>
  <si>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</si>
  <si>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</si>
  <si>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</si>
  <si>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</si>
  <si>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</si>
  <si>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</si>
  <si>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</si>
  <si>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</si>
  <si>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</si>
  <si>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</si>
  <si>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</si>
  <si>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</si>
  <si>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</si>
  <si>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</si>
  <si>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</si>
  <si>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</si>
  <si>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</si>
  <si>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</si>
  <si>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</si>
  <si>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</si>
  <si>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</si>
  <si>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</si>
  <si>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</si>
  <si>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</si>
  <si>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</si>
  <si>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</si>
  <si>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</si>
  <si>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</si>
  <si>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</si>
  <si>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</si>
  <si>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</si>
  <si>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</si>
  <si>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</si>
  <si>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</si>
  <si>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</si>
  <si>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</si>
  <si>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</si>
  <si>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</si>
  <si>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</si>
  <si>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</si>
  <si>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</si>
  <si>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</si>
  <si>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</si>
  <si>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</si>
  <si>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</si>
  <si>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</si>
  <si>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</si>
  <si>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</si>
  <si>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</si>
  <si>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</si>
  <si>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</si>
  <si>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</si>
  <si>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</si>
  <si>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</si>
  <si>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</si>
  <si>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</si>
  <si>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</si>
  <si>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</si>
  <si>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</si>
  <si>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</si>
  <si>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</si>
  <si>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</si>
  <si>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</si>
  <si>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</si>
  <si>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</si>
  <si>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</si>
  <si>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</si>
  <si>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</si>
  <si>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</si>
  <si>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</si>
  <si>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</si>
  <si>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</si>
  <si>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</si>
  <si>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</si>
  <si>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</si>
  <si>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</si>
  <si>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</si>
  <si>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</si>
  <si>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</si>
  <si>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</si>
  <si>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</si>
  <si>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</si>
  <si>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</si>
  <si>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</si>
  <si>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</si>
  <si>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</si>
  <si>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</si>
  <si>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</si>
  <si>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</si>
  <si>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</si>
  <si>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</si>
  <si>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</si>
  <si>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</si>
  <si>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</si>
  <si>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</si>
  <si>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</si>
  <si>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</si>
  <si>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</si>
  <si>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</si>
  <si>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</si>
  <si>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</si>
  <si>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</si>
  <si>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</si>
  <si>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</si>
  <si>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</si>
  <si>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</si>
  <si>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</si>
  <si>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</si>
  <si>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</si>
  <si>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</si>
  <si>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</si>
  <si>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</si>
  <si>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</si>
  <si>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</si>
  <si>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</si>
  <si>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</si>
  <si>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</si>
  <si>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</si>
  <si>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</si>
  <si>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</si>
  <si>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</si>
  <si>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</si>
  <si>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</si>
  <si>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</si>
  <si>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</si>
  <si>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</si>
  <si>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</si>
  <si>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</si>
  <si>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</si>
  <si>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</si>
  <si>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</si>
  <si>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</si>
  <si>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</si>
  <si>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</si>
  <si>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</si>
  <si>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</si>
  <si>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</si>
  <si>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</si>
  <si>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</si>
  <si>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</si>
  <si>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</si>
  <si>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</si>
  <si>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</si>
  <si>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</si>
  <si>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</si>
  <si>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</si>
  <si>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</si>
  <si>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</si>
  <si>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</si>
  <si>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</si>
  <si>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</si>
  <si>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</si>
  <si>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</si>
  <si>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</si>
  <si>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</si>
  <si>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</si>
  <si>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</si>
  <si>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</si>
  <si>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</si>
  <si>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</si>
  <si>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</si>
  <si>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</si>
  <si>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</si>
  <si>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</si>
  <si>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</si>
  <si>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</si>
  <si>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</si>
  <si>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</si>
  <si>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</si>
  <si>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</si>
  <si>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</si>
  <si>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</si>
  <si>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</si>
  <si>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</si>
  <si>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</si>
  <si>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</si>
  <si>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</si>
  <si>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</si>
  <si>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</si>
  <si>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</si>
  <si>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</si>
  <si>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</si>
  <si>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</si>
  <si>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</si>
  <si>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</si>
  <si>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</si>
  <si>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</si>
  <si>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</si>
  <si>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</si>
  <si>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</si>
  <si>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</si>
  <si>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</si>
  <si>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</si>
  <si>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</si>
  <si>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</si>
  <si>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</si>
  <si>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</si>
  <si>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</si>
  <si>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</si>
  <si>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</si>
  <si>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</si>
  <si>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</si>
  <si>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</si>
  <si>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</si>
  <si>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</si>
  <si>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Order ORD-260816-7148 - PRINCE ENTERPRISES.pdf</t>
  </si>
  <si>
    <t>Smartivity Pump It Move It Hydraulic Crane</t>
  </si>
  <si>
    <t>Smartivity mechanical hand</t>
  </si>
  <si>
    <t>Smartivity microscope</t>
  </si>
  <si>
    <t>Hydraulic Plane launcher</t>
  </si>
  <si>
    <t>✅ Auto-matched SKU (PO: 'SMRT1163')</t>
  </si>
  <si>
    <t>Smartivity Globetrotters</t>
  </si>
  <si>
    <t>Smartivity Pirate's Telescope</t>
  </si>
  <si>
    <t>Smartivity Infinity Calander organiser</t>
  </si>
  <si>
    <t>Smartivity Foosball</t>
  </si>
  <si>
    <t>Smartivity Mega Science kit</t>
  </si>
  <si>
    <t>Smartivity Glow Chemistry</t>
  </si>
  <si>
    <t>Electro Play Lab</t>
  </si>
  <si>
    <t>Magic of Science</t>
  </si>
  <si>
    <t>Cricket Mania</t>
  </si>
  <si>
    <t>Rocket Launcher</t>
  </si>
  <si>
    <t>Table Lamp</t>
  </si>
  <si>
    <t>Missile Truck</t>
  </si>
  <si>
    <t>Interactive Clock</t>
  </si>
  <si>
    <t>Money Bank</t>
  </si>
  <si>
    <t>Robotic Arm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</si>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</sst>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9" fontId="0" fillId="0" borderId="0" xfId="1" applyFont="1"/>
    <xf numFmtId="0" fontId="0" fillId="0" borderId="0" xfId="0" applyFont="1" applyFill="1" applyBorder="1"/>
    <xf numFmtId="0" fontId="2" fillId="6" borderId="2" xfId="0" applyFont="1" applyFill="1" applyBorder="1" applyAlignment="1">
      <alignment horizontal="center"/>
    </xf>
    <xf numFmtId="0" fontId="2" fillId="6" borderId="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topLeftCell="A14" zoomScale="110" zoomScaleNormal="110" workbookViewId="0">
      <selection activeCell="Q37" sqref="Q37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4" ht="31.95" customHeight="1" x14ac:dyDescent="0.3">
      <c r="A1" s="10" t="s">
        <v>250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4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4" ht="7.95" customHeight="1" x14ac:dyDescent="0.3"/>
    <row r="4" spans="1:14" ht="22.05" customHeight="1" x14ac:dyDescent="0.3">
      <c r="B4" s="5" t="s">
        <v>237</v>
      </c>
      <c r="C4" s="9" t="s">
        <v>256</v>
      </c>
      <c r="D4" s="9"/>
      <c r="E4" s="9"/>
      <c r="F4" s="9"/>
    </row>
    <row r="5" spans="1:14" ht="22.05" customHeight="1" x14ac:dyDescent="0.3">
      <c r="B5" s="5" t="s">
        <v>238</v>
      </c>
      <c r="C5" s="8" t="s">
        <v>257</v>
      </c>
      <c r="D5" s="8"/>
      <c r="E5" s="8"/>
      <c r="F5" s="8"/>
    </row>
    <row r="6" spans="1:14" ht="7.95" customHeight="1" x14ac:dyDescent="0.3"/>
    <row r="10" spans="1:14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">
      <c r="A11" s="12" t="s">
        <v>14</v>
      </c>
      <c r="B11" s="12" t="s">
        <v>258</v>
      </c>
      <c r="C11" s="12">
        <v>6</v>
      </c>
      <c r="D11" s="12">
        <v>1</v>
      </c>
      <c r="E11" s="12">
        <v>1349</v>
      </c>
      <c r="F11" s="12" t="str">
        <f>IF(ISBLANK(A11), "", IFERROR(INDEX('Price list'!B:B, MATCH(LEFT(UPPER(SUBSTITUTE(A11, " ", "")), 8) &amp; "*", 'Price list'!F:F, 0)), ""))</f>
        <v>SMRT1018</v>
      </c>
      <c r="G11" s="12">
        <f>IF(ISBLANK(A11), "", IFERROR(INDEX('Price list'!C:C, MATCH(LEFT(UPPER(SUBSTITUTE(A11, " ", "")), 8) &amp; "*", 'Price list'!F:F, 0)), 0))</f>
        <v>1349</v>
      </c>
      <c r="H11" s="12">
        <f>IF(ISBLANK(A11), "", IFERROR(INDEX('Price list'!E:E, MATCH(LEFT(UPPER(SUBSTITUTE(A11, " ", "")), 8) &amp; "*", 'Price list'!F:F, 0)), 0))</f>
        <v>0.05</v>
      </c>
      <c r="I11" s="12">
        <f>IF(ISBLANK(A11), "", IFERROR(INDEX('Price list'!D:D, MATCH(LEFT(UPPER(SUBSTITUTE(A11, " ", "")), 8) &amp; "*", 'Price list'!F:F, 0)), ""))</f>
        <v>95030020</v>
      </c>
      <c r="J11" s="12"/>
      <c r="K11" s="12">
        <f>IF(ISBLANK(A11), "", ROUND(G11*C11*J11,2))</f>
        <v>0</v>
      </c>
      <c r="L11" s="12">
        <f>IF(ISBLANK(A11), "", (G11*C11)-K11)</f>
        <v>8094</v>
      </c>
      <c r="M11" s="12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12"/>
    </row>
    <row r="12" spans="1:14" x14ac:dyDescent="0.3">
      <c r="A12" s="12" t="s">
        <v>74</v>
      </c>
      <c r="B12" s="12" t="s">
        <v>259</v>
      </c>
      <c r="C12" s="12">
        <v>6</v>
      </c>
      <c r="D12" s="12">
        <v>1</v>
      </c>
      <c r="E12" s="12">
        <v>1249</v>
      </c>
      <c r="F12" s="12" t="str">
        <f>IF(ISBLANK(A12), "", IFERROR(INDEX('Price list'!B:B, MATCH(LEFT(UPPER(SUBSTITUTE(A12, " ", "")), 8) &amp; "*", 'Price list'!F:F, 0)), ""))</f>
        <v>SMRT1135</v>
      </c>
      <c r="G12" s="12">
        <f>IF(ISBLANK(A12), "", IFERROR(INDEX('Price list'!C:C, MATCH(LEFT(UPPER(SUBSTITUTE(A12, " ", "")), 8) &amp; "*", 'Price list'!F:F, 0)), 0))</f>
        <v>1249</v>
      </c>
      <c r="H12" s="12">
        <f>IF(ISBLANK(A12), "", IFERROR(INDEX('Price list'!E:E, MATCH(LEFT(UPPER(SUBSTITUTE(A12, " ", "")), 8) &amp; "*", 'Price list'!F:F, 0)), 0))</f>
        <v>0.05</v>
      </c>
      <c r="I12" s="12">
        <f>IF(ISBLANK(A12), "", IFERROR(INDEX('Price list'!D:D, MATCH(LEFT(UPPER(SUBSTITUTE(A12, " ", "")), 8) &amp; "*", 'Price list'!F:F, 0)), ""))</f>
        <v>95030020</v>
      </c>
      <c r="J12" s="12"/>
      <c r="K12" s="12">
        <f>IF(ISBLANK(A12), "", ROUND(G12*C12*J12,2))</f>
        <v>0</v>
      </c>
      <c r="L12" s="12">
        <f>IF(ISBLANK(A12), "", (G12*C12)-K12)</f>
        <v>7494</v>
      </c>
      <c r="M12" s="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12"/>
    </row>
    <row r="13" spans="1:14" x14ac:dyDescent="0.3">
      <c r="A13" s="12" t="s">
        <v>75</v>
      </c>
      <c r="B13" s="12" t="s">
        <v>260</v>
      </c>
      <c r="C13" s="12">
        <v>6</v>
      </c>
      <c r="D13" s="12">
        <v>0</v>
      </c>
      <c r="E13" s="12">
        <v>1259</v>
      </c>
      <c r="F13" s="12" t="str">
        <f>IF(ISBLANK(A13), "", IFERROR(INDEX('Price list'!B:B, MATCH(LEFT(UPPER(SUBSTITUTE(A13, " ", "")), 8) &amp; "*", 'Price list'!F:F, 0)), ""))</f>
        <v>SMRT1139-18</v>
      </c>
      <c r="G13" s="12">
        <f>IF(ISBLANK(A13), "", IFERROR(INDEX('Price list'!C:C, MATCH(LEFT(UPPER(SUBSTITUTE(A13, " ", "")), 8) &amp; "*", 'Price list'!F:F, 0)), 0))</f>
        <v>1259</v>
      </c>
      <c r="H13" s="12">
        <f>IF(ISBLANK(A13), "", IFERROR(INDEX('Price list'!E:E, MATCH(LEFT(UPPER(SUBSTITUTE(A13, " ", "")), 8) &amp; "*", 'Price list'!F:F, 0)), 0))</f>
        <v>0.18</v>
      </c>
      <c r="I13" s="12">
        <f>IF(ISBLANK(A13), "", IFERROR(INDEX('Price list'!D:D, MATCH(LEFT(UPPER(SUBSTITUTE(A13, " ", "")), 8) &amp; "*", 'Price list'!F:F, 0)), ""))</f>
        <v>95030010</v>
      </c>
      <c r="J13" s="12"/>
      <c r="K13" s="12">
        <f>IF(ISBLANK(A13), "", ROUND(G13*C13*J13,2))</f>
        <v>0</v>
      </c>
      <c r="L13" s="12">
        <f>IF(ISBLANK(A13), "", (G13*C13)-K13)</f>
        <v>7554</v>
      </c>
      <c r="M13" s="12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12"/>
    </row>
    <row r="14" spans="1:14" x14ac:dyDescent="0.3">
      <c r="A14" s="12" t="s">
        <v>76</v>
      </c>
      <c r="B14" s="12" t="s">
        <v>261</v>
      </c>
      <c r="C14" s="12">
        <v>6</v>
      </c>
      <c r="D14" s="12">
        <v>1</v>
      </c>
      <c r="E14" s="12">
        <v>979</v>
      </c>
      <c r="F14" s="12" t="str">
        <f>IF(ISBLANK(A14), "", IFERROR(INDEX('Price list'!B:B, MATCH(LEFT(UPPER(SUBSTITUTE(A14, " ", "")), 8) &amp; "*", 'Price list'!F:F, 0)), ""))</f>
        <v>SMRT1163 (V3)</v>
      </c>
      <c r="G14" s="12">
        <f>IF(ISBLANK(A14), "", IFERROR(INDEX('Price list'!C:C, MATCH(LEFT(UPPER(SUBSTITUTE(A14, " ", "")), 8) &amp; "*", 'Price list'!F:F, 0)), 0))</f>
        <v>979</v>
      </c>
      <c r="H14" s="12">
        <f>IF(ISBLANK(A14), "", IFERROR(INDEX('Price list'!E:E, MATCH(LEFT(UPPER(SUBSTITUTE(A14, " ", "")), 8) &amp; "*", 'Price list'!F:F, 0)), 0))</f>
        <v>0.05</v>
      </c>
      <c r="I14" s="12">
        <f>IF(ISBLANK(A14), "", IFERROR(INDEX('Price list'!D:D, MATCH(LEFT(UPPER(SUBSTITUTE(A14, " ", "")), 8) &amp; "*", 'Price list'!F:F, 0)), ""))</f>
        <v>95030020</v>
      </c>
      <c r="J14" s="12"/>
      <c r="K14" s="12">
        <f>IF(ISBLANK(A14), "", ROUND(G14*C14*J14,2))</f>
        <v>0</v>
      </c>
      <c r="L14" s="12">
        <f>IF(ISBLANK(A14), "", (G14*C14)-K14)</f>
        <v>5874</v>
      </c>
      <c r="M14" s="12" t="s">
        <v>262</v>
      </c>
      <c r="N14" s="12"/>
    </row>
    <row r="15" spans="1:14" x14ac:dyDescent="0.3">
      <c r="A15" s="12" t="s">
        <v>78</v>
      </c>
      <c r="B15" s="12" t="s">
        <v>263</v>
      </c>
      <c r="C15" s="12">
        <v>6</v>
      </c>
      <c r="D15" s="12">
        <v>1</v>
      </c>
      <c r="E15" s="12">
        <v>1549</v>
      </c>
      <c r="F15" s="12" t="str">
        <f>IF(ISBLANK(A15), "", IFERROR(INDEX('Price list'!B:B, MATCH(LEFT(UPPER(SUBSTITUTE(A15, " ", "")), 8) &amp; "*", 'Price list'!F:F, 0)), ""))</f>
        <v>SMRT1165</v>
      </c>
      <c r="G15" s="12">
        <f>IF(ISBLANK(A15), "", IFERROR(INDEX('Price list'!C:C, MATCH(LEFT(UPPER(SUBSTITUTE(A15, " ", "")), 8) &amp; "*", 'Price list'!F:F, 0)), 0))</f>
        <v>1549</v>
      </c>
      <c r="H15" s="12">
        <f>IF(ISBLANK(A15), "", IFERROR(INDEX('Price list'!E:E, MATCH(LEFT(UPPER(SUBSTITUTE(A15, " ", "")), 8) &amp; "*", 'Price list'!F:F, 0)), 0))</f>
        <v>0.05</v>
      </c>
      <c r="I15" s="12">
        <f>IF(ISBLANK(A15), "", IFERROR(INDEX('Price list'!D:D, MATCH(LEFT(UPPER(SUBSTITUTE(A15, " ", "")), 8) &amp; "*", 'Price list'!F:F, 0)), ""))</f>
        <v>95030020</v>
      </c>
      <c r="J15" s="12"/>
      <c r="K15" s="12">
        <f>IF(ISBLANK(A15), "", ROUND(G15*C15*J15,2))</f>
        <v>0</v>
      </c>
      <c r="L15" s="12">
        <f>IF(ISBLANK(A15), "", (G15*C15)-K15)</f>
        <v>9294</v>
      </c>
      <c r="M15" s="12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12"/>
    </row>
    <row r="16" spans="1:14" x14ac:dyDescent="0.3">
      <c r="A16" s="12" t="s">
        <v>81</v>
      </c>
      <c r="B16" s="12" t="s">
        <v>264</v>
      </c>
      <c r="C16" s="12">
        <v>6</v>
      </c>
      <c r="D16" s="12">
        <v>1</v>
      </c>
      <c r="E16" s="12">
        <v>849</v>
      </c>
      <c r="F16" s="12" t="str">
        <f>IF(ISBLANK(A16), "", IFERROR(INDEX('Price list'!B:B, MATCH(LEFT(UPPER(SUBSTITUTE(A16, " ", "")), 8) &amp; "*", 'Price list'!F:F, 0)), ""))</f>
        <v>SMRT1174</v>
      </c>
      <c r="G16" s="12">
        <f>IF(ISBLANK(A16), "", IFERROR(INDEX('Price list'!C:C, MATCH(LEFT(UPPER(SUBSTITUTE(A16, " ", "")), 8) &amp; "*", 'Price list'!F:F, 0)), 0))</f>
        <v>849</v>
      </c>
      <c r="H16" s="12">
        <f>IF(ISBLANK(A16), "", IFERROR(INDEX('Price list'!E:E, MATCH(LEFT(UPPER(SUBSTITUTE(A16, " ", "")), 8) &amp; "*", 'Price list'!F:F, 0)), 0))</f>
        <v>0.05</v>
      </c>
      <c r="I16" s="12">
        <f>IF(ISBLANK(A16), "", IFERROR(INDEX('Price list'!D:D, MATCH(LEFT(UPPER(SUBSTITUTE(A16, " ", "")), 8) &amp; "*", 'Price list'!F:F, 0)), ""))</f>
        <v>95030020</v>
      </c>
      <c r="J16" s="12"/>
      <c r="K16" s="12">
        <f>IF(ISBLANK(A16), "", ROUND(G16*C16*J16,2))</f>
        <v>0</v>
      </c>
      <c r="L16" s="12">
        <f>IF(ISBLANK(A16), "", (G16*C16)-K16)</f>
        <v>5094</v>
      </c>
      <c r="M16" s="12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12"/>
    </row>
    <row r="17" spans="1:14" x14ac:dyDescent="0.3">
      <c r="A17" s="12" t="s">
        <v>86</v>
      </c>
      <c r="B17" s="12" t="s">
        <v>265</v>
      </c>
      <c r="C17" s="12">
        <v>6</v>
      </c>
      <c r="D17" s="12">
        <v>1</v>
      </c>
      <c r="E17" s="12">
        <v>1099</v>
      </c>
      <c r="F17" s="12" t="str">
        <f>IF(ISBLANK(A17), "", IFERROR(INDEX('Price list'!B:B, MATCH(LEFT(UPPER(SUBSTITUTE(A17, " ", "")), 8) &amp; "*", 'Price list'!F:F, 0)), ""))</f>
        <v>SMRT1179</v>
      </c>
      <c r="G17" s="12">
        <f>IF(ISBLANK(A17), "", IFERROR(INDEX('Price list'!C:C, MATCH(LEFT(UPPER(SUBSTITUTE(A17, " ", "")), 8) &amp; "*", 'Price list'!F:F, 0)), 0))</f>
        <v>1099</v>
      </c>
      <c r="H17" s="12">
        <f>IF(ISBLANK(A17), "", IFERROR(INDEX('Price list'!E:E, MATCH(LEFT(UPPER(SUBSTITUTE(A17, " ", "")), 8) &amp; "*", 'Price list'!F:F, 0)), 0))</f>
        <v>0.05</v>
      </c>
      <c r="I17" s="12">
        <f>IF(ISBLANK(A17), "", IFERROR(INDEX('Price list'!D:D, MATCH(LEFT(UPPER(SUBSTITUTE(A17, " ", "")), 8) &amp; "*", 'Price list'!F:F, 0)), ""))</f>
        <v>95030020</v>
      </c>
      <c r="J17" s="12"/>
      <c r="K17" s="12">
        <f>IF(ISBLANK(A17), "", ROUND(G17*C17*J17,2))</f>
        <v>0</v>
      </c>
      <c r="L17" s="12">
        <f>IF(ISBLANK(A17), "", (G17*C17)-K17)</f>
        <v>6594</v>
      </c>
      <c r="M17" s="12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12"/>
    </row>
    <row r="18" spans="1:14" x14ac:dyDescent="0.3">
      <c r="A18" s="12" t="s">
        <v>89</v>
      </c>
      <c r="B18" s="12" t="s">
        <v>266</v>
      </c>
      <c r="C18" s="12">
        <v>6</v>
      </c>
      <c r="D18" s="12">
        <v>1</v>
      </c>
      <c r="E18" s="12">
        <v>1299</v>
      </c>
      <c r="F18" s="12" t="str">
        <f>IF(ISBLANK(A18), "", IFERROR(INDEX('Price list'!B:B, MATCH(LEFT(UPPER(SUBSTITUTE(A18, " ", "")), 8) &amp; "*", 'Price list'!F:F, 0)), ""))</f>
        <v>SMRT1182</v>
      </c>
      <c r="G18" s="12">
        <f>IF(ISBLANK(A18), "", IFERROR(INDEX('Price list'!C:C, MATCH(LEFT(UPPER(SUBSTITUTE(A18, " ", "")), 8) &amp; "*", 'Price list'!F:F, 0)), 0))</f>
        <v>1299</v>
      </c>
      <c r="H18" s="12">
        <f>IF(ISBLANK(A18), "", IFERROR(INDEX('Price list'!E:E, MATCH(LEFT(UPPER(SUBSTITUTE(A18, " ", "")), 8) &amp; "*", 'Price list'!F:F, 0)), 0))</f>
        <v>0.05</v>
      </c>
      <c r="I18" s="12">
        <f>IF(ISBLANK(A18), "", IFERROR(INDEX('Price list'!D:D, MATCH(LEFT(UPPER(SUBSTITUTE(A18, " ", "")), 8) &amp; "*", 'Price list'!F:F, 0)), ""))</f>
        <v>95030020</v>
      </c>
      <c r="J18" s="12"/>
      <c r="K18" s="12">
        <f>IF(ISBLANK(A18), "", ROUND(G18*C18*J18,2))</f>
        <v>0</v>
      </c>
      <c r="L18" s="12">
        <f>IF(ISBLANK(A18), "", (G18*C18)-K18)</f>
        <v>7794</v>
      </c>
      <c r="M18" s="12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12"/>
    </row>
    <row r="19" spans="1:14" x14ac:dyDescent="0.3">
      <c r="A19" s="12" t="s">
        <v>98</v>
      </c>
      <c r="B19" s="12" t="s">
        <v>267</v>
      </c>
      <c r="C19" s="12">
        <v>6</v>
      </c>
      <c r="D19" s="12">
        <v>1</v>
      </c>
      <c r="E19" s="12">
        <v>1099</v>
      </c>
      <c r="F19" s="12" t="str">
        <f>IF(ISBLANK(A19), "", IFERROR(INDEX('Price list'!B:B, MATCH(LEFT(UPPER(SUBSTITUTE(A19, " ", "")), 8) &amp; "*", 'Price list'!F:F, 0)), ""))</f>
        <v>SMRT1192</v>
      </c>
      <c r="G19" s="12">
        <f>IF(ISBLANK(A19), "", IFERROR(INDEX('Price list'!C:C, MATCH(LEFT(UPPER(SUBSTITUTE(A19, " ", "")), 8) &amp; "*", 'Price list'!F:F, 0)), 0))</f>
        <v>1099</v>
      </c>
      <c r="H19" s="12">
        <f>IF(ISBLANK(A19), "", IFERROR(INDEX('Price list'!E:E, MATCH(LEFT(UPPER(SUBSTITUTE(A19, " ", "")), 8) &amp; "*", 'Price list'!F:F, 0)), 0))</f>
        <v>0.05</v>
      </c>
      <c r="I19" s="12">
        <f>IF(ISBLANK(A19), "", IFERROR(INDEX('Price list'!D:D, MATCH(LEFT(UPPER(SUBSTITUTE(A19, " ", "")), 8) &amp; "*", 'Price list'!F:F, 0)), ""))</f>
        <v>95030020</v>
      </c>
      <c r="J19" s="12"/>
      <c r="K19" s="12">
        <f>IF(ISBLANK(A19), "", ROUND(G19*C19*J19,2))</f>
        <v>0</v>
      </c>
      <c r="L19" s="12">
        <f>IF(ISBLANK(A19), "", (G19*C19)-K19)</f>
        <v>6594</v>
      </c>
      <c r="M19" s="12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  <c r="N19" s="12"/>
    </row>
    <row r="20" spans="1:14" x14ac:dyDescent="0.3">
      <c r="A20" s="12" t="s">
        <v>103</v>
      </c>
      <c r="B20" s="12" t="s">
        <v>268</v>
      </c>
      <c r="C20" s="12">
        <v>6</v>
      </c>
      <c r="D20" s="12">
        <v>1</v>
      </c>
      <c r="E20" s="12">
        <v>1099</v>
      </c>
      <c r="F20" s="12" t="str">
        <f>IF(ISBLANK(A20), "", IFERROR(INDEX('Price list'!B:B, MATCH(LEFT(UPPER(SUBSTITUTE(A20, " ", "")), 8) &amp; "*", 'Price list'!F:F, 0)), ""))</f>
        <v>SMRT1214-18</v>
      </c>
      <c r="G20" s="12">
        <f>IF(ISBLANK(A20), "", IFERROR(INDEX('Price list'!C:C, MATCH(LEFT(UPPER(SUBSTITUTE(A20, " ", "")), 8) &amp; "*", 'Price list'!F:F, 0)), 0))</f>
        <v>1099</v>
      </c>
      <c r="H20" s="12">
        <f>IF(ISBLANK(A20), "", IFERROR(INDEX('Price list'!E:E, MATCH(LEFT(UPPER(SUBSTITUTE(A20, " ", "")), 8) &amp; "*", 'Price list'!F:F, 0)), 0))</f>
        <v>0.18</v>
      </c>
      <c r="I20" s="12">
        <f>IF(ISBLANK(A20), "", IFERROR(INDEX('Price list'!D:D, MATCH(LEFT(UPPER(SUBSTITUTE(A20, " ", "")), 8) &amp; "*", 'Price list'!F:F, 0)), ""))</f>
        <v>95030010</v>
      </c>
      <c r="J20" s="12"/>
      <c r="K20" s="12">
        <f>IF(ISBLANK(A20), "", ROUND(G20*C20*J20,2))</f>
        <v>0</v>
      </c>
      <c r="L20" s="12">
        <f>IF(ISBLANK(A20), "", (G20*C20)-K20)</f>
        <v>6594</v>
      </c>
      <c r="M20" s="12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12"/>
    </row>
    <row r="21" spans="1:14" x14ac:dyDescent="0.3">
      <c r="A21" s="12" t="s">
        <v>106</v>
      </c>
      <c r="B21" s="12" t="s">
        <v>269</v>
      </c>
      <c r="C21" s="12">
        <v>6</v>
      </c>
      <c r="D21" s="12">
        <v>1</v>
      </c>
      <c r="E21" s="12">
        <v>1399</v>
      </c>
      <c r="F21" s="12" t="str">
        <f>IF(ISBLANK(A21), "", IFERROR(INDEX('Price list'!B:B, MATCH(LEFT(UPPER(SUBSTITUTE(A21, " ", "")), 8) &amp; "*", 'Price list'!F:F, 0)), ""))</f>
        <v>SMRT1216</v>
      </c>
      <c r="G21" s="12">
        <f>IF(ISBLANK(A21), "", IFERROR(INDEX('Price list'!C:C, MATCH(LEFT(UPPER(SUBSTITUTE(A21, " ", "")), 8) &amp; "*", 'Price list'!F:F, 0)), 0))</f>
        <v>1399</v>
      </c>
      <c r="H21" s="12">
        <f>IF(ISBLANK(A21), "", IFERROR(INDEX('Price list'!E:E, MATCH(LEFT(UPPER(SUBSTITUTE(A21, " ", "")), 8) &amp; "*", 'Price list'!F:F, 0)), 0))</f>
        <v>0.18</v>
      </c>
      <c r="I21" s="12">
        <f>IF(ISBLANK(A21), "", IFERROR(INDEX('Price list'!D:D, MATCH(LEFT(UPPER(SUBSTITUTE(A21, " ", "")), 8) &amp; "*", 'Price list'!F:F, 0)), ""))</f>
        <v>95030010</v>
      </c>
      <c r="J21" s="12"/>
      <c r="K21" s="12">
        <f>IF(ISBLANK(A21), "", ROUND(G21*C21*J21,2))</f>
        <v>0</v>
      </c>
      <c r="L21" s="12">
        <f>IF(ISBLANK(A21), "", (G21*C21)-K21)</f>
        <v>8394</v>
      </c>
      <c r="M21" s="12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12"/>
    </row>
    <row r="22" spans="1:14" x14ac:dyDescent="0.3">
      <c r="A22" s="12" t="s">
        <v>115</v>
      </c>
      <c r="B22" s="12" t="s">
        <v>270</v>
      </c>
      <c r="C22" s="12">
        <v>6</v>
      </c>
      <c r="D22" s="12">
        <v>1</v>
      </c>
      <c r="E22" s="12">
        <v>1099</v>
      </c>
      <c r="F22" s="12" t="str">
        <f>IF(ISBLANK(A22), "", IFERROR(INDEX('Price list'!B:B, MATCH(LEFT(UPPER(SUBSTITUTE(A22, " ", "")), 8) &amp; "*", 'Price list'!F:F, 0)), ""))</f>
        <v>SMRT1230-18</v>
      </c>
      <c r="G22" s="12">
        <f>IF(ISBLANK(A22), "", IFERROR(INDEX('Price list'!C:C, MATCH(LEFT(UPPER(SUBSTITUTE(A22, " ", "")), 8) &amp; "*", 'Price list'!F:F, 0)), 0))</f>
        <v>1099</v>
      </c>
      <c r="H22" s="12">
        <f>IF(ISBLANK(A22), "", IFERROR(INDEX('Price list'!E:E, MATCH(LEFT(UPPER(SUBSTITUTE(A22, " ", "")), 8) &amp; "*", 'Price list'!F:F, 0)), 0))</f>
        <v>0.18</v>
      </c>
      <c r="I22" s="12">
        <f>IF(ISBLANK(A22), "", IFERROR(INDEX('Price list'!D:D, MATCH(LEFT(UPPER(SUBSTITUTE(A22, " ", "")), 8) &amp; "*", 'Price list'!F:F, 0)), ""))</f>
        <v>95030010</v>
      </c>
      <c r="J22" s="12"/>
      <c r="K22" s="12">
        <f>IF(ISBLANK(A22), "", ROUND(G22*C22*J22,2))</f>
        <v>0</v>
      </c>
      <c r="L22" s="12">
        <f>IF(ISBLANK(A22), "", (G22*C22)-K22)</f>
        <v>6594</v>
      </c>
      <c r="M22" s="12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12"/>
    </row>
    <row r="23" spans="1:14" x14ac:dyDescent="0.3">
      <c r="A23" s="12" t="s">
        <v>116</v>
      </c>
      <c r="B23" s="12" t="s">
        <v>271</v>
      </c>
      <c r="C23" s="12">
        <v>6</v>
      </c>
      <c r="D23" s="12">
        <v>1</v>
      </c>
      <c r="E23" s="12">
        <v>1299</v>
      </c>
      <c r="F23" s="12" t="str">
        <f>IF(ISBLANK(A23), "", IFERROR(INDEX('Price list'!B:B, MATCH(LEFT(UPPER(SUBSTITUTE(A23, " ", "")), 8) &amp; "*", 'Price list'!F:F, 0)), ""))</f>
        <v>SMRT1233</v>
      </c>
      <c r="G23" s="12">
        <f>IF(ISBLANK(A23), "", IFERROR(INDEX('Price list'!C:C, MATCH(LEFT(UPPER(SUBSTITUTE(A23, " ", "")), 8) &amp; "*", 'Price list'!F:F, 0)), 0))</f>
        <v>1299</v>
      </c>
      <c r="H23" s="12">
        <f>IF(ISBLANK(A23), "", IFERROR(INDEX('Price list'!E:E, MATCH(LEFT(UPPER(SUBSTITUTE(A23, " ", "")), 8) &amp; "*", 'Price list'!F:F, 0)), 0))</f>
        <v>0.05</v>
      </c>
      <c r="I23" s="12">
        <f>IF(ISBLANK(A23), "", IFERROR(INDEX('Price list'!D:D, MATCH(LEFT(UPPER(SUBSTITUTE(A23, " ", "")), 8) &amp; "*", 'Price list'!F:F, 0)), ""))</f>
        <v>95030020</v>
      </c>
      <c r="J23" s="12"/>
      <c r="K23" s="12">
        <f>IF(ISBLANK(A23), "", ROUND(G23*C23*J23,2))</f>
        <v>0</v>
      </c>
      <c r="L23" s="12">
        <f>IF(ISBLANK(A23), "", (G23*C23)-K23)</f>
        <v>7794</v>
      </c>
      <c r="M23" s="12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12"/>
    </row>
    <row r="24" spans="1:14" x14ac:dyDescent="0.3">
      <c r="A24" s="12" t="s">
        <v>140</v>
      </c>
      <c r="B24" s="12" t="s">
        <v>272</v>
      </c>
      <c r="C24" s="12">
        <v>6</v>
      </c>
      <c r="D24" s="12">
        <v>1</v>
      </c>
      <c r="E24" s="12">
        <v>849</v>
      </c>
      <c r="F24" s="12" t="str">
        <f>IF(ISBLANK(A24), "", IFERROR(INDEX('Price list'!B:B, MATCH(LEFT(UPPER(SUBSTITUTE(A24, " ", "")), 8) &amp; "*", 'Price list'!F:F, 0)), ""))</f>
        <v>SMRT1279</v>
      </c>
      <c r="G24" s="12">
        <f>IF(ISBLANK(A24), "", IFERROR(INDEX('Price list'!C:C, MATCH(LEFT(UPPER(SUBSTITUTE(A24, " ", "")), 8) &amp; "*", 'Price list'!F:F, 0)), 0))</f>
        <v>849</v>
      </c>
      <c r="H24" s="12">
        <f>IF(ISBLANK(A24), "", IFERROR(INDEX('Price list'!E:E, MATCH(LEFT(UPPER(SUBSTITUTE(A24, " ", "")), 8) &amp; "*", 'Price list'!F:F, 0)), 0))</f>
        <v>0.05</v>
      </c>
      <c r="I24" s="12">
        <f>IF(ISBLANK(A24), "", IFERROR(INDEX('Price list'!D:D, MATCH(LEFT(UPPER(SUBSTITUTE(A24, " ", "")), 8) &amp; "*", 'Price list'!F:F, 0)), ""))</f>
        <v>95030020</v>
      </c>
      <c r="J24" s="12"/>
      <c r="K24" s="12">
        <f>IF(ISBLANK(A24), "", ROUND(G24*C24*J24,2))</f>
        <v>0</v>
      </c>
      <c r="L24" s="12">
        <f>IF(ISBLANK(A24), "", (G24*C24)-K24)</f>
        <v>5094</v>
      </c>
      <c r="M24" s="12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12"/>
    </row>
    <row r="25" spans="1:14" x14ac:dyDescent="0.3">
      <c r="A25" s="12" t="s">
        <v>149</v>
      </c>
      <c r="B25" s="12" t="s">
        <v>273</v>
      </c>
      <c r="C25" s="12">
        <v>6</v>
      </c>
      <c r="D25" s="12">
        <v>1</v>
      </c>
      <c r="E25" s="12">
        <v>1299</v>
      </c>
      <c r="F25" s="12" t="str">
        <f>IF(ISBLANK(A25), "", IFERROR(INDEX('Price list'!B:B, MATCH(LEFT(UPPER(SUBSTITUTE(A25, " ", "")), 8) &amp; "*", 'Price list'!F:F, 0)), ""))</f>
        <v>SMRT1296</v>
      </c>
      <c r="G25" s="12">
        <f>IF(ISBLANK(A25), "", IFERROR(INDEX('Price list'!C:C, MATCH(LEFT(UPPER(SUBSTITUTE(A25, " ", "")), 8) &amp; "*", 'Price list'!F:F, 0)), 0))</f>
        <v>1299</v>
      </c>
      <c r="H25" s="12">
        <f>IF(ISBLANK(A25), "", IFERROR(INDEX('Price list'!E:E, MATCH(LEFT(UPPER(SUBSTITUTE(A25, " ", "")), 8) &amp; "*", 'Price list'!F:F, 0)), 0))</f>
        <v>0.18</v>
      </c>
      <c r="I25" s="12">
        <f>IF(ISBLANK(A25), "", IFERROR(INDEX('Price list'!D:D, MATCH(LEFT(UPPER(SUBSTITUTE(A25, " ", "")), 8) &amp; "*", 'Price list'!F:F, 0)), ""))</f>
        <v>95030010</v>
      </c>
      <c r="J25" s="12"/>
      <c r="K25" s="12">
        <f>IF(ISBLANK(A25), "", ROUND(G25*C25*J25,2))</f>
        <v>0</v>
      </c>
      <c r="L25" s="12">
        <f>IF(ISBLANK(A25), "", (G25*C25)-K25)</f>
        <v>7794</v>
      </c>
      <c r="M25" s="12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12"/>
    </row>
    <row r="26" spans="1:14" x14ac:dyDescent="0.3">
      <c r="A26" s="12" t="s">
        <v>154</v>
      </c>
      <c r="B26" s="12" t="s">
        <v>274</v>
      </c>
      <c r="C26" s="12">
        <v>6</v>
      </c>
      <c r="D26" s="12">
        <v>1</v>
      </c>
      <c r="E26" s="12">
        <v>1099</v>
      </c>
      <c r="F26" s="12" t="str">
        <f>IF(ISBLANK(A26), "", IFERROR(INDEX('Price list'!B:B, MATCH(LEFT(UPPER(SUBSTITUTE(A26, " ", "")), 8) &amp; "*", 'Price list'!F:F, 0)), ""))</f>
        <v>SMRT1301</v>
      </c>
      <c r="G26" s="12">
        <f>IF(ISBLANK(A26), "", IFERROR(INDEX('Price list'!C:C, MATCH(LEFT(UPPER(SUBSTITUTE(A26, " ", "")), 8) &amp; "*", 'Price list'!F:F, 0)), 0))</f>
        <v>1099</v>
      </c>
      <c r="H26" s="12">
        <f>IF(ISBLANK(A26), "", IFERROR(INDEX('Price list'!E:E, MATCH(LEFT(UPPER(SUBSTITUTE(A26, " ", "")), 8) &amp; "*", 'Price list'!F:F, 0)), 0))</f>
        <v>0.05</v>
      </c>
      <c r="I26" s="12">
        <f>IF(ISBLANK(A26), "", IFERROR(INDEX('Price list'!D:D, MATCH(LEFT(UPPER(SUBSTITUTE(A26, " ", "")), 8) &amp; "*", 'Price list'!F:F, 0)), ""))</f>
        <v>95030020</v>
      </c>
      <c r="J26" s="12"/>
      <c r="K26" s="12">
        <f>IF(ISBLANK(A26), "", ROUND(G26*C26*J26,2))</f>
        <v>0</v>
      </c>
      <c r="L26" s="12">
        <f>IF(ISBLANK(A26), "", (G26*C26)-K26)</f>
        <v>6594</v>
      </c>
      <c r="M26" s="12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12"/>
    </row>
    <row r="27" spans="1:14" x14ac:dyDescent="0.3">
      <c r="A27" s="12" t="s">
        <v>155</v>
      </c>
      <c r="B27" s="12" t="s">
        <v>275</v>
      </c>
      <c r="C27" s="12">
        <v>6</v>
      </c>
      <c r="D27" s="12">
        <v>1</v>
      </c>
      <c r="E27" s="12">
        <v>999</v>
      </c>
      <c r="F27" s="12" t="str">
        <f>IF(ISBLANK(A27), "", IFERROR(INDEX('Price list'!B:B, MATCH(LEFT(UPPER(SUBSTITUTE(A27, " ", "")), 8) &amp; "*", 'Price list'!F:F, 0)), ""))</f>
        <v>SMRT1302</v>
      </c>
      <c r="G27" s="12">
        <f>IF(ISBLANK(A27), "", IFERROR(INDEX('Price list'!C:C, MATCH(LEFT(UPPER(SUBSTITUTE(A27, " ", "")), 8) &amp; "*", 'Price list'!F:F, 0)), 0))</f>
        <v>999</v>
      </c>
      <c r="H27" s="12">
        <f>IF(ISBLANK(A27), "", IFERROR(INDEX('Price list'!E:E, MATCH(LEFT(UPPER(SUBSTITUTE(A27, " ", "")), 8) &amp; "*", 'Price list'!F:F, 0)), 0))</f>
        <v>0.18</v>
      </c>
      <c r="I27" s="12">
        <f>IF(ISBLANK(A27), "", IFERROR(INDEX('Price list'!D:D, MATCH(LEFT(UPPER(SUBSTITUTE(A27, " ", "")), 8) &amp; "*", 'Price list'!F:F, 0)), ""))</f>
        <v>95030010</v>
      </c>
      <c r="J27" s="12"/>
      <c r="K27" s="12">
        <f>IF(ISBLANK(A27), "", ROUND(G27*C27*J27,2))</f>
        <v>0</v>
      </c>
      <c r="L27" s="12">
        <f>IF(ISBLANK(A27), "", (G27*C27)-K27)</f>
        <v>5994</v>
      </c>
      <c r="M27" s="12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12"/>
    </row>
    <row r="28" spans="1:14" x14ac:dyDescent="0.3">
      <c r="A28" s="12" t="s">
        <v>165</v>
      </c>
      <c r="B28" s="12" t="s">
        <v>276</v>
      </c>
      <c r="C28" s="12">
        <v>6</v>
      </c>
      <c r="D28" s="12">
        <v>1</v>
      </c>
      <c r="E28" s="12">
        <v>799</v>
      </c>
      <c r="F28" s="12" t="str">
        <f>IF(ISBLANK(A28), "", IFERROR(INDEX('Price list'!B:B, MATCH(LEFT(UPPER(SUBSTITUTE(A28, " ", "")), 8) &amp; "*", 'Price list'!F:F, 0)), ""))</f>
        <v>SMRT1322</v>
      </c>
      <c r="G28" s="12">
        <f>IF(ISBLANK(A28), "", IFERROR(INDEX('Price list'!C:C, MATCH(LEFT(UPPER(SUBSTITUTE(A28, " ", "")), 8) &amp; "*", 'Price list'!F:F, 0)), 0))</f>
        <v>799</v>
      </c>
      <c r="H28" s="12">
        <f>IF(ISBLANK(A28), "", IFERROR(INDEX('Price list'!E:E, MATCH(LEFT(UPPER(SUBSTITUTE(A28, " ", "")), 8) &amp; "*", 'Price list'!F:F, 0)), 0))</f>
        <v>0.05</v>
      </c>
      <c r="I28" s="12">
        <f>IF(ISBLANK(A28), "", IFERROR(INDEX('Price list'!D:D, MATCH(LEFT(UPPER(SUBSTITUTE(A28, " ", "")), 8) &amp; "*", 'Price list'!F:F, 0)), ""))</f>
        <v>95030020</v>
      </c>
      <c r="J28" s="12"/>
      <c r="K28" s="12">
        <f>IF(ISBLANK(A28), "", ROUND(G28*C28*J28,2))</f>
        <v>0</v>
      </c>
      <c r="L28" s="12">
        <f>IF(ISBLANK(A28), "", (G28*C28)-K28)</f>
        <v>4794</v>
      </c>
      <c r="M28" s="12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12"/>
    </row>
    <row r="29" spans="1:14" ht="15" thickBot="1" x14ac:dyDescent="0.35">
      <c r="A29" s="12" t="s">
        <v>168</v>
      </c>
      <c r="B29" s="12" t="s">
        <v>277</v>
      </c>
      <c r="C29" s="12">
        <v>6</v>
      </c>
      <c r="D29" s="12">
        <v>1</v>
      </c>
      <c r="E29" s="12">
        <v>899</v>
      </c>
      <c r="F29" s="12" t="str">
        <f>IF(ISBLANK(A29), "", IFERROR(INDEX('Price list'!B:B, MATCH(LEFT(UPPER(SUBSTITUTE(A29, " ", "")), 8) &amp; "*", 'Price list'!F:F, 0)), ""))</f>
        <v>SMRT1325</v>
      </c>
      <c r="G29" s="12">
        <f>IF(ISBLANK(A29), "", IFERROR(INDEX('Price list'!C:C, MATCH(LEFT(UPPER(SUBSTITUTE(A29, " ", "")), 8) &amp; "*", 'Price list'!F:F, 0)), 0))</f>
        <v>899</v>
      </c>
      <c r="H29" s="12">
        <f>IF(ISBLANK(A29), "", IFERROR(INDEX('Price list'!E:E, MATCH(LEFT(UPPER(SUBSTITUTE(A29, " ", "")), 8) &amp; "*", 'Price list'!F:F, 0)), 0))</f>
        <v>0.05</v>
      </c>
      <c r="I29" s="12">
        <f>IF(ISBLANK(A29), "", IFERROR(INDEX('Price list'!D:D, MATCH(LEFT(UPPER(SUBSTITUTE(A29, " ", "")), 8) &amp; "*", 'Price list'!F:F, 0)), ""))</f>
        <v>95030020</v>
      </c>
      <c r="J29" s="12"/>
      <c r="K29" s="12">
        <f>IF(ISBLANK(A29), "", ROUND(G29*C29*J29,2))</f>
        <v>0</v>
      </c>
      <c r="L29" s="12">
        <f>IF(ISBLANK(A29), "", (G29*C29)-K29)</f>
        <v>5394</v>
      </c>
      <c r="M29" s="12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12"/>
    </row>
    <row r="30" spans="1:14" ht="17.399999999999999" thickBot="1" x14ac:dyDescent="0.45">
      <c r="A30" s="13" t="s">
        <v>278</v>
      </c>
      <c r="B30" s="13"/>
      <c r="C30" s="14">
        <f>SUM(C11:C29)</f>
        <v>114</v>
      </c>
      <c r="D30" s="14">
        <f>SUM(D11:D29)</f>
        <v>18</v>
      </c>
      <c r="E30" s="14"/>
      <c r="F30" s="14"/>
      <c r="G30" s="14"/>
      <c r="H30" s="14"/>
      <c r="I30" s="14"/>
      <c r="J30" s="14"/>
      <c r="K30" s="14">
        <f>SUM(K11:K29)</f>
        <v>0</v>
      </c>
      <c r="L30" s="14">
        <f>SUM(L11:L29)</f>
        <v>129426</v>
      </c>
      <c r="M30" s="12"/>
      <c r="N30" s="12"/>
    </row>
    <row r="31" spans="1:14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</row>
    <row r="32" spans="1:14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</row>
    <row r="33" spans="1:14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</row>
    <row r="34" spans="1:14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</row>
    <row r="35" spans="1:14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1:14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1:14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</row>
    <row r="38" spans="1:14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</row>
    <row r="39" spans="1:14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4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</row>
    <row r="41" spans="1:14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</row>
    <row r="42" spans="1:14" x14ac:dyDescent="0.3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</row>
    <row r="43" spans="1:14" x14ac:dyDescent="0.3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</row>
    <row r="44" spans="1:14" x14ac:dyDescent="0.3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</row>
    <row r="45" spans="1:14" x14ac:dyDescent="0.3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</row>
    <row r="46" spans="1:14" x14ac:dyDescent="0.3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</row>
    <row r="47" spans="1:14" x14ac:dyDescent="0.3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</row>
    <row r="48" spans="1:14" x14ac:dyDescent="0.3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</row>
    <row r="49" spans="1:14" x14ac:dyDescent="0.3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</row>
    <row r="50" spans="1:14" x14ac:dyDescent="0.3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</row>
    <row r="51" spans="1:14" x14ac:dyDescent="0.3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</row>
    <row r="52" spans="1:14" x14ac:dyDescent="0.3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14" x14ac:dyDescent="0.3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14" x14ac:dyDescent="0.3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</row>
    <row r="55" spans="1:14" x14ac:dyDescent="0.3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</row>
    <row r="56" spans="1:14" x14ac:dyDescent="0.3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</row>
    <row r="57" spans="1:14" x14ac:dyDescent="0.3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</row>
    <row r="58" spans="1:14" x14ac:dyDescent="0.3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</row>
    <row r="59" spans="1:14" x14ac:dyDescent="0.3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</row>
    <row r="60" spans="1:14" x14ac:dyDescent="0.3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</row>
    <row r="61" spans="1:14" x14ac:dyDescent="0.3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</row>
    <row r="62" spans="1:14" x14ac:dyDescent="0.3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</row>
    <row r="63" spans="1:14" x14ac:dyDescent="0.3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</row>
    <row r="64" spans="1:14" x14ac:dyDescent="0.3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</row>
    <row r="65" spans="1:14" x14ac:dyDescent="0.3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</row>
    <row r="66" spans="1:14" x14ac:dyDescent="0.3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</row>
    <row r="67" spans="1:14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</row>
    <row r="68" spans="1:14" x14ac:dyDescent="0.3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</row>
    <row r="69" spans="1:14" x14ac:dyDescent="0.3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</row>
    <row r="70" spans="1:14" x14ac:dyDescent="0.3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</row>
    <row r="71" spans="1:14" x14ac:dyDescent="0.3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</row>
    <row r="72" spans="1:14" x14ac:dyDescent="0.3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</row>
    <row r="73" spans="1:14" x14ac:dyDescent="0.3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</row>
    <row r="74" spans="1:14" x14ac:dyDescent="0.3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</row>
    <row r="75" spans="1:14" x14ac:dyDescent="0.3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</row>
    <row r="76" spans="1:14" x14ac:dyDescent="0.3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</row>
    <row r="77" spans="1:14" x14ac:dyDescent="0.3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</row>
    <row r="78" spans="1:14" x14ac:dyDescent="0.3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</row>
    <row r="79" spans="1:14" x14ac:dyDescent="0.3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</row>
    <row r="80" spans="1:14" x14ac:dyDescent="0.3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</row>
    <row r="81" spans="1:14" x14ac:dyDescent="0.3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</row>
    <row r="82" spans="1:14" x14ac:dyDescent="0.3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</row>
    <row r="83" spans="1:14" x14ac:dyDescent="0.3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4" x14ac:dyDescent="0.3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4" x14ac:dyDescent="0.3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</row>
    <row r="86" spans="1:14" x14ac:dyDescent="0.3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</row>
    <row r="87" spans="1:14" x14ac:dyDescent="0.3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</row>
    <row r="88" spans="1:14" x14ac:dyDescent="0.3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</row>
    <row r="89" spans="1:14" x14ac:dyDescent="0.3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</row>
    <row r="90" spans="1:14" x14ac:dyDescent="0.3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4" x14ac:dyDescent="0.3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</row>
    <row r="92" spans="1:14" x14ac:dyDescent="0.3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</row>
    <row r="93" spans="1:14" x14ac:dyDescent="0.3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</row>
    <row r="94" spans="1:14" x14ac:dyDescent="0.3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</row>
    <row r="95" spans="1:14" x14ac:dyDescent="0.3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</row>
    <row r="96" spans="1:14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3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4" x14ac:dyDescent="0.3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</row>
    <row r="99" spans="1:14" x14ac:dyDescent="0.3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</row>
    <row r="100" spans="1:14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</row>
    <row r="101" spans="1:14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</row>
    <row r="102" spans="1:14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</row>
    <row r="103" spans="1:14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4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5" spans="1:14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</row>
    <row r="106" spans="1:14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</row>
    <row r="107" spans="1:14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</row>
    <row r="108" spans="1:14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</row>
    <row r="109" spans="1:14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</row>
    <row r="110" spans="1:14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</row>
    <row r="111" spans="1:14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</row>
    <row r="112" spans="1:14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</row>
    <row r="113" spans="1:14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</row>
    <row r="114" spans="1:14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</row>
    <row r="115" spans="1:14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4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4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4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</row>
    <row r="119" spans="1:14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</row>
    <row r="120" spans="1:14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</row>
    <row r="121" spans="1:14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</row>
    <row r="122" spans="1:14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</row>
    <row r="123" spans="1:14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</row>
    <row r="124" spans="1:14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</row>
    <row r="125" spans="1:14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</row>
    <row r="126" spans="1:14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</row>
    <row r="127" spans="1:14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</row>
    <row r="128" spans="1:14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4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4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4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</row>
    <row r="132" spans="1:14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</row>
    <row r="133" spans="1:14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</row>
    <row r="134" spans="1:14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</row>
    <row r="135" spans="1:14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</row>
    <row r="136" spans="1:14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</row>
    <row r="137" spans="1:14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</row>
    <row r="138" spans="1:14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4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4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4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</row>
    <row r="142" spans="1:14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</row>
    <row r="143" spans="1:14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</row>
    <row r="144" spans="1:14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</row>
    <row r="145" spans="1:14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</row>
    <row r="146" spans="1:14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</row>
    <row r="147" spans="1:14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</row>
    <row r="148" spans="1:14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</row>
    <row r="149" spans="1:14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</row>
    <row r="150" spans="1:14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4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4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</row>
    <row r="153" spans="1:14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</row>
    <row r="154" spans="1:14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</row>
    <row r="155" spans="1:14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</row>
    <row r="156" spans="1:14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</row>
    <row r="157" spans="1:14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</row>
    <row r="158" spans="1:14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</row>
    <row r="159" spans="1:14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</row>
    <row r="160" spans="1:14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</row>
    <row r="161" spans="1:14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</row>
    <row r="162" spans="1:14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</row>
    <row r="163" spans="1:14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</row>
    <row r="164" spans="1:14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</row>
    <row r="165" spans="1:14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</row>
    <row r="166" spans="1:14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</row>
    <row r="167" spans="1:14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</row>
    <row r="168" spans="1:14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</row>
    <row r="169" spans="1:14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</row>
    <row r="170" spans="1:14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</row>
    <row r="171" spans="1:14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</row>
    <row r="172" spans="1:14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</row>
    <row r="173" spans="1:14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</row>
    <row r="174" spans="1:14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4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</row>
    <row r="176" spans="1:14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</row>
    <row r="177" spans="1:14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</row>
    <row r="178" spans="1:14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</row>
    <row r="179" spans="1:14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</row>
    <row r="180" spans="1:14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</row>
    <row r="181" spans="1:14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</row>
    <row r="182" spans="1:14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</row>
    <row r="183" spans="1:14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</row>
    <row r="184" spans="1:14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</row>
    <row r="185" spans="1:14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</row>
    <row r="186" spans="1:14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</row>
    <row r="187" spans="1:14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</row>
    <row r="188" spans="1:14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</row>
    <row r="189" spans="1:14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</row>
    <row r="190" spans="1:14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</row>
    <row r="191" spans="1:14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</row>
    <row r="192" spans="1:14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</row>
    <row r="193" spans="1:14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</row>
    <row r="194" spans="1:14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</row>
    <row r="195" spans="1:14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</row>
    <row r="196" spans="1:14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</row>
    <row r="197" spans="1:14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</row>
    <row r="198" spans="1:14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</row>
    <row r="199" spans="1:14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</row>
    <row r="200" spans="1:14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</row>
  </sheetData>
  <mergeCells count="4">
    <mergeCell ref="C5:F5"/>
    <mergeCell ref="C4:F4"/>
    <mergeCell ref="A1:M1"/>
    <mergeCell ref="A30:B30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0" t="s">
        <v>251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9"/>
      <c r="D4" s="9"/>
      <c r="E4" s="9"/>
      <c r="F4" s="9"/>
    </row>
    <row r="5" spans="1:13" ht="22.05" customHeight="1" x14ac:dyDescent="0.3">
      <c r="B5" s="5" t="s">
        <v>238</v>
      </c>
      <c r="C5" s="8"/>
      <c r="D5" s="8"/>
      <c r="E5" s="8"/>
      <c r="F5" s="8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0" t="s">
        <v>252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9"/>
      <c r="D4" s="9"/>
      <c r="E4" s="9"/>
      <c r="F4" s="9"/>
    </row>
    <row r="5" spans="1:13" ht="22.05" customHeight="1" x14ac:dyDescent="0.3">
      <c r="B5" s="5" t="s">
        <v>238</v>
      </c>
      <c r="C5" s="8"/>
      <c r="D5" s="8"/>
      <c r="E5" s="8"/>
      <c r="F5" s="8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0" t="s">
        <v>253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9"/>
      <c r="D4" s="9"/>
      <c r="E4" s="9"/>
      <c r="F4" s="9"/>
    </row>
    <row r="5" spans="1:13" ht="22.05" customHeight="1" x14ac:dyDescent="0.3">
      <c r="B5" s="5" t="s">
        <v>238</v>
      </c>
      <c r="C5" s="8"/>
      <c r="D5" s="8"/>
      <c r="E5" s="8"/>
      <c r="F5" s="8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G197" sqref="G19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4"/>
  <sheetViews>
    <sheetView tabSelected="1" workbookViewId="0">
      <selection activeCell="G1" sqref="G1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11">
        <v>0.52380000000000004</v>
      </c>
      <c r="D2" s="11">
        <v>0</v>
      </c>
      <c r="E2" s="11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11">
        <v>0.47619</v>
      </c>
      <c r="D3" s="11">
        <v>0</v>
      </c>
      <c r="E3" s="11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11">
        <v>0.47619</v>
      </c>
      <c r="D4" s="11">
        <v>0</v>
      </c>
      <c r="E4" s="11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11">
        <v>0.47619</v>
      </c>
      <c r="D5" s="11">
        <v>0</v>
      </c>
      <c r="E5" s="11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11">
        <v>0.47619</v>
      </c>
      <c r="D6" s="11">
        <v>0</v>
      </c>
      <c r="E6" s="11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11">
        <v>0.47619</v>
      </c>
      <c r="D7" s="11">
        <v>0</v>
      </c>
      <c r="E7" s="11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11">
        <v>0.47619</v>
      </c>
      <c r="D8" s="11">
        <v>0</v>
      </c>
      <c r="E8" s="11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11">
        <v>0.47620000000000001</v>
      </c>
      <c r="D9" s="11">
        <v>0</v>
      </c>
      <c r="E9" s="11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11">
        <v>0.52380000000000004</v>
      </c>
      <c r="D10" s="11">
        <v>0</v>
      </c>
      <c r="E10" s="11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11">
        <v>0.47620000000000001</v>
      </c>
      <c r="D11" s="11">
        <v>0</v>
      </c>
      <c r="E11" s="11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11">
        <v>0.50470000000000004</v>
      </c>
      <c r="D12" s="11">
        <v>0</v>
      </c>
      <c r="E12" s="11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11">
        <v>0.47620000000000001</v>
      </c>
      <c r="D13" s="11">
        <v>0</v>
      </c>
      <c r="E13" s="11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11">
        <v>0.47620000000000001</v>
      </c>
      <c r="D14" s="11">
        <v>0</v>
      </c>
      <c r="E14" s="11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11">
        <v>0.52380000000000004</v>
      </c>
      <c r="D15" s="11">
        <v>0</v>
      </c>
      <c r="E15" s="11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11">
        <v>0.47620000000000001</v>
      </c>
      <c r="D16" s="11">
        <v>0</v>
      </c>
      <c r="E16" s="11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11">
        <v>0.47620000000000001</v>
      </c>
      <c r="D17" s="11">
        <v>0</v>
      </c>
      <c r="E17" s="11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11">
        <v>0.47620000000000001</v>
      </c>
      <c r="D18" s="11">
        <v>0</v>
      </c>
      <c r="E18" s="11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11">
        <v>0.52380000000000004</v>
      </c>
      <c r="D19" s="11">
        <v>0</v>
      </c>
      <c r="E19" s="11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11">
        <v>0.47620000000000001</v>
      </c>
      <c r="D20" s="11">
        <v>0</v>
      </c>
      <c r="E20" s="11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11">
        <v>0.47620000000000001</v>
      </c>
      <c r="D21" s="11">
        <v>0</v>
      </c>
      <c r="E21" s="11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 s="11">
        <v>0.52380000000000004</v>
      </c>
      <c r="D22" s="11">
        <v>0</v>
      </c>
      <c r="E22" s="11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 s="11">
        <v>0.47620000000000001</v>
      </c>
      <c r="D23" s="11">
        <v>0</v>
      </c>
      <c r="E23" s="11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 s="11">
        <v>0.52380000000000004</v>
      </c>
      <c r="D24" s="11">
        <v>0</v>
      </c>
      <c r="E24" s="11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 s="11">
        <v>0.47620000000000001</v>
      </c>
      <c r="D25" s="11">
        <v>0</v>
      </c>
      <c r="E25" s="11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11">
        <v>0.47620000000000001</v>
      </c>
      <c r="D26" s="11">
        <v>0</v>
      </c>
      <c r="E26" s="11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11">
        <v>0.47620000000000001</v>
      </c>
      <c r="D27" s="11">
        <v>0</v>
      </c>
      <c r="E27" s="11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11">
        <v>0.47620000000000001</v>
      </c>
      <c r="D28" s="11">
        <v>0</v>
      </c>
      <c r="E28" s="11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11">
        <v>0.47620000000000001</v>
      </c>
      <c r="D29" s="11">
        <v>0</v>
      </c>
      <c r="E29" s="11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11">
        <v>0.47620000000000001</v>
      </c>
      <c r="D30" s="11">
        <v>0</v>
      </c>
      <c r="E30" s="11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11">
        <v>0.47620000000000001</v>
      </c>
      <c r="D31" s="11">
        <v>0</v>
      </c>
      <c r="E31" s="11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11">
        <v>0.47620000000000001</v>
      </c>
      <c r="D32" s="11">
        <v>0</v>
      </c>
      <c r="E32" s="11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11">
        <v>0.47620000000000001</v>
      </c>
      <c r="D33" s="11">
        <v>0</v>
      </c>
      <c r="E33" s="11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 s="11">
        <v>0.49719999999999998</v>
      </c>
      <c r="D34" s="11">
        <v>0</v>
      </c>
      <c r="E34" s="11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 s="11">
        <v>0.47620000000000001</v>
      </c>
      <c r="D35" s="11">
        <v>0</v>
      </c>
      <c r="E35" s="11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 s="11">
        <v>0.52380000000000004</v>
      </c>
      <c r="D36" s="11">
        <v>0</v>
      </c>
      <c r="E36" s="11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 s="11">
        <v>0.47620000000000001</v>
      </c>
      <c r="D37" s="11">
        <v>0</v>
      </c>
      <c r="E37" s="11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11">
        <v>0.47620000000000001</v>
      </c>
      <c r="D38" s="11">
        <v>0</v>
      </c>
      <c r="E38" s="11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 s="11">
        <v>0.52380000000000004</v>
      </c>
      <c r="D39" s="11">
        <v>0</v>
      </c>
      <c r="E39" s="11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 s="11">
        <v>0.4738</v>
      </c>
      <c r="D40" s="11">
        <v>0</v>
      </c>
      <c r="E40" s="11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 s="11">
        <v>0.43080000000000002</v>
      </c>
      <c r="D41" s="11">
        <v>0</v>
      </c>
      <c r="E41" s="11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 s="11">
        <v>0.47620000000000001</v>
      </c>
      <c r="D42" s="11">
        <v>0</v>
      </c>
      <c r="E42" s="11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 s="11">
        <v>0.47620000000000001</v>
      </c>
      <c r="D43" s="11">
        <v>0</v>
      </c>
      <c r="E43" s="11">
        <v>0.53390000000000004</v>
      </c>
      <c r="F43">
        <v>0</v>
      </c>
    </row>
    <row r="44" spans="1:6" x14ac:dyDescent="0.3">
      <c r="A44" t="s">
        <v>256</v>
      </c>
      <c r="B44" t="s">
        <v>256</v>
      </c>
      <c r="C44" s="11">
        <v>0.4738</v>
      </c>
      <c r="D44" s="11">
        <v>0</v>
      </c>
      <c r="E44" s="11">
        <v>0.53390000000000004</v>
      </c>
      <c r="F44" s="11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2026-08-19T06:54:36Z</dcterms:modified>
</cp:coreProperties>
</file>