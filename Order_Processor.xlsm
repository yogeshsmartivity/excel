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Project\Excel\"/>
    </mc:Choice>
  </mc:AlternateContent>
  <xr:revisionPtr revIDLastSave="0" documentId="13_ncr:1_{8BCA5979-7062-467E-ACA2-1820B0021A7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6" i="1" l="1"/>
  <c r="C36" i="1"/>
  <c r="I35" i="1"/>
  <c r="H35" i="1"/>
  <c r="J35" i="1" s="1"/>
  <c r="G35" i="1"/>
  <c r="F35" i="1"/>
  <c r="I34" i="1"/>
  <c r="H34" i="1"/>
  <c r="J34" i="1" s="1"/>
  <c r="G34" i="1"/>
  <c r="F34" i="1"/>
  <c r="I33" i="1"/>
  <c r="H33" i="1"/>
  <c r="J33" i="1" s="1"/>
  <c r="G33" i="1"/>
  <c r="F33" i="1"/>
  <c r="I32" i="1"/>
  <c r="H32" i="1"/>
  <c r="J32" i="1" s="1"/>
  <c r="G32" i="1"/>
  <c r="F32" i="1"/>
  <c r="I31" i="1"/>
  <c r="H31" i="1"/>
  <c r="J31" i="1" s="1"/>
  <c r="G31" i="1"/>
  <c r="F31" i="1"/>
  <c r="I30" i="1"/>
  <c r="H30" i="1"/>
  <c r="J30" i="1" s="1"/>
  <c r="G30" i="1"/>
  <c r="F30" i="1"/>
  <c r="I29" i="1"/>
  <c r="H29" i="1"/>
  <c r="J29" i="1" s="1"/>
  <c r="G29" i="1"/>
  <c r="F29" i="1"/>
  <c r="I28" i="1"/>
  <c r="H28" i="1"/>
  <c r="J28" i="1" s="1"/>
  <c r="G28" i="1"/>
  <c r="F28" i="1"/>
  <c r="I27" i="1"/>
  <c r="H27" i="1"/>
  <c r="J27" i="1" s="1"/>
  <c r="G27" i="1"/>
  <c r="F27" i="1"/>
  <c r="I26" i="1"/>
  <c r="H26" i="1"/>
  <c r="J26" i="1" s="1"/>
  <c r="G26" i="1"/>
  <c r="F26" i="1"/>
  <c r="I25" i="1"/>
  <c r="H25" i="1"/>
  <c r="J25" i="1" s="1"/>
  <c r="G25" i="1"/>
  <c r="F25" i="1"/>
  <c r="I24" i="1"/>
  <c r="H24" i="1"/>
  <c r="J24" i="1" s="1"/>
  <c r="G24" i="1"/>
  <c r="F24" i="1"/>
  <c r="I23" i="1"/>
  <c r="H23" i="1"/>
  <c r="J23" i="1" s="1"/>
  <c r="G23" i="1"/>
  <c r="F23" i="1"/>
  <c r="I22" i="1"/>
  <c r="H22" i="1"/>
  <c r="J22" i="1" s="1"/>
  <c r="G22" i="1"/>
  <c r="F22" i="1"/>
  <c r="I21" i="1"/>
  <c r="H21" i="1"/>
  <c r="J21" i="1" s="1"/>
  <c r="G21" i="1"/>
  <c r="F21" i="1"/>
  <c r="I20" i="1"/>
  <c r="H20" i="1"/>
  <c r="J20" i="1" s="1"/>
  <c r="G20" i="1"/>
  <c r="F20" i="1"/>
  <c r="I19" i="1"/>
  <c r="H19" i="1"/>
  <c r="J19" i="1" s="1"/>
  <c r="G19" i="1"/>
  <c r="F19" i="1"/>
  <c r="I18" i="1"/>
  <c r="H18" i="1"/>
  <c r="J18" i="1" s="1"/>
  <c r="G18" i="1"/>
  <c r="F18" i="1"/>
  <c r="I17" i="1"/>
  <c r="H17" i="1"/>
  <c r="J17" i="1" s="1"/>
  <c r="G17" i="1"/>
  <c r="F17" i="1"/>
  <c r="I16" i="1"/>
  <c r="H16" i="1"/>
  <c r="J16" i="1" s="1"/>
  <c r="G16" i="1"/>
  <c r="F16" i="1"/>
  <c r="I15" i="1"/>
  <c r="H15" i="1"/>
  <c r="J15" i="1" s="1"/>
  <c r="G15" i="1"/>
  <c r="F15" i="1"/>
  <c r="I14" i="1"/>
  <c r="H14" i="1"/>
  <c r="J14" i="1" s="1"/>
  <c r="G14" i="1"/>
  <c r="F14" i="1"/>
  <c r="I13" i="1"/>
  <c r="H13" i="1"/>
  <c r="J13" i="1" s="1"/>
  <c r="G13" i="1"/>
  <c r="F13" i="1"/>
  <c r="I12" i="1"/>
  <c r="H12" i="1"/>
  <c r="J12" i="1" s="1"/>
  <c r="G12" i="1"/>
  <c r="F12" i="1"/>
  <c r="I11" i="1"/>
  <c r="H11" i="1"/>
  <c r="J11" i="1" s="1"/>
  <c r="G11" i="1"/>
  <c r="F11" i="1"/>
  <c r="M31" i="1" l="1"/>
  <c r="K23" i="1"/>
  <c r="L23" i="1" s="1"/>
  <c r="K13" i="1"/>
  <c r="L13" i="1" s="1"/>
  <c r="M18" i="1"/>
  <c r="M20" i="1"/>
  <c r="M26" i="1"/>
  <c r="K29" i="1"/>
  <c r="L29" i="1" s="1"/>
  <c r="K20" i="1"/>
  <c r="L20" i="1" s="1"/>
  <c r="M28" i="1"/>
  <c r="M30" i="1"/>
  <c r="K12" i="1"/>
  <c r="L12" i="1" s="1"/>
  <c r="K14" i="1"/>
  <c r="L14" i="1" s="1"/>
  <c r="M32" i="1"/>
  <c r="M21" i="1"/>
  <c r="M23" i="1"/>
  <c r="K28" i="1"/>
  <c r="L28" i="1" s="1"/>
  <c r="K15" i="1"/>
  <c r="L15" i="1" s="1"/>
  <c r="M12" i="1"/>
  <c r="K21" i="1"/>
  <c r="L21" i="1" s="1"/>
  <c r="K16" i="1"/>
  <c r="L16" i="1" s="1"/>
  <c r="K30" i="1"/>
  <c r="L30" i="1" s="1"/>
  <c r="M15" i="1"/>
  <c r="M24" i="1"/>
  <c r="M29" i="1"/>
  <c r="K24" i="1"/>
  <c r="L24" i="1" s="1"/>
  <c r="K22" i="1"/>
  <c r="L22" i="1" s="1"/>
  <c r="K31" i="1"/>
  <c r="L31" i="1" s="1"/>
  <c r="K19" i="1"/>
  <c r="L19" i="1" s="1"/>
  <c r="M22" i="1"/>
  <c r="K27" i="1"/>
  <c r="L27" i="1" s="1"/>
  <c r="K35" i="1"/>
  <c r="L35" i="1" s="1"/>
  <c r="M16" i="1"/>
  <c r="K18" i="1"/>
  <c r="L18" i="1" s="1"/>
  <c r="K26" i="1"/>
  <c r="L26" i="1" s="1"/>
  <c r="K34" i="1"/>
  <c r="L34" i="1" s="1"/>
  <c r="K17" i="1"/>
  <c r="L17" i="1" s="1"/>
  <c r="K25" i="1"/>
  <c r="L25" i="1" s="1"/>
  <c r="K33" i="1"/>
  <c r="L33" i="1" s="1"/>
  <c r="K11" i="1"/>
  <c r="M14" i="1"/>
  <c r="M13" i="1"/>
  <c r="M11" i="1"/>
  <c r="M19" i="1"/>
  <c r="M27" i="1"/>
  <c r="K32" i="1"/>
  <c r="L32" i="1" s="1"/>
  <c r="M35" i="1"/>
  <c r="M34" i="1"/>
  <c r="M17" i="1"/>
  <c r="M25" i="1"/>
  <c r="M33" i="1"/>
  <c r="K36" i="1" l="1"/>
  <c r="L11" i="1"/>
  <c r="L36" i="1" s="1"/>
</calcChain>
</file>

<file path=xl/sharedStrings.xml><?xml version="1.0" encoding="utf-8"?>
<sst xmlns="http://schemas.openxmlformats.org/spreadsheetml/2006/main" count="567" uniqueCount="285">
  <si>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</si>
  <si>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</si>
  <si>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</si>
  <si>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</si>
  <si>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</si>
  <si>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</si>
  <si>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</si>
  <si>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</si>
  <si>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</si>
  <si>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</si>
  <si>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</si>
  <si>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</si>
  <si>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</si>
  <si>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</si>
  <si>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</si>
  <si>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</si>
  <si>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</si>
  <si>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</si>
  <si>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</si>
  <si>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</si>
  <si>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</si>
  <si>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</si>
  <si>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</si>
  <si>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</si>
  <si>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</si>
  <si>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</si>
  <si>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</si>
  <si>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</si>
  <si>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</si>
  <si>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</si>
  <si>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</si>
  <si>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</si>
  <si>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</si>
  <si>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</si>
  <si>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</si>
  <si>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</si>
  <si>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</si>
  <si>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</si>
  <si>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</si>
  <si>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</si>
  <si>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</si>
  <si>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</si>
  <si>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</si>
  <si>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</si>
  <si>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</si>
  <si>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</si>
  <si>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</si>
  <si>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</si>
  <si>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</si>
  <si>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</si>
  <si>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</si>
  <si>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</si>
  <si>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</si>
  <si>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</si>
  <si>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</si>
  <si>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</si>
  <si>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</si>
  <si>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</si>
  <si>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</si>
  <si>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</si>
  <si>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</si>
  <si>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</si>
  <si>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</si>
  <si>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</si>
  <si>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</si>
  <si>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</si>
  <si>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</si>
  <si>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</si>
  <si>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</si>
  <si>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</si>
  <si>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</si>
  <si>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</si>
  <si>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</si>
  <si>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</si>
  <si>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</si>
  <si>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</si>
  <si>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</si>
  <si>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</si>
  <si>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</si>
  <si>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</si>
  <si>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</si>
  <si>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</si>
  <si>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</si>
  <si>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</si>
  <si>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</si>
  <si>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</si>
  <si>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</si>
  <si>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</si>
  <si>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</si>
  <si>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</si>
  <si>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</si>
  <si>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</si>
  <si>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</si>
  <si>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</si>
  <si>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</si>
  <si>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</si>
  <si>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</si>
  <si>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</si>
  <si>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</si>
  <si>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</si>
  <si>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</si>
  <si>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</si>
  <si>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</si>
  <si>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</si>
  <si>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</si>
  <si>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</si>
  <si>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</si>
  <si>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</si>
  <si>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</si>
  <si>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</si>
  <si>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</si>
  <si>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</si>
  <si>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</si>
  <si>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</si>
  <si>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</si>
  <si>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</si>
  <si>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</si>
  <si>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</si>
  <si>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</si>
  <si>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</si>
  <si>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</si>
  <si>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</si>
  <si>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</si>
  <si>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</si>
  <si>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</si>
  <si>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</si>
  <si>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</si>
  <si>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</si>
  <si>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</si>
  <si>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</si>
  <si>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</si>
  <si>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</si>
  <si>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</si>
  <si>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</si>
  <si>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</si>
  <si>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</si>
  <si>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</si>
  <si>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</si>
  <si>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</si>
  <si>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</si>
  <si>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</si>
  <si>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</si>
  <si>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</si>
  <si>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</si>
  <si>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</si>
  <si>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</si>
  <si>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</si>
  <si>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</si>
  <si>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</si>
  <si>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</si>
  <si>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</si>
  <si>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</si>
  <si>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</si>
  <si>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</si>
  <si>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</si>
  <si>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</si>
  <si>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</si>
  <si>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</si>
  <si>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</si>
  <si>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</si>
  <si>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</si>
  <si>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</si>
  <si>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</si>
  <si>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</si>
  <si>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</si>
  <si>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</si>
  <si>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</si>
  <si>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</si>
  <si>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</si>
  <si>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</si>
  <si>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</si>
  <si>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</si>
  <si>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</si>
  <si>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</si>
  <si>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</si>
  <si>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</si>
  <si>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</si>
  <si>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</si>
  <si>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</si>
  <si>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</si>
  <si>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</si>
  <si>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</si>
  <si>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</si>
  <si>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</si>
  <si>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</si>
  <si>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</si>
  <si>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</si>
  <si>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</si>
  <si>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</si>
  <si>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</si>
  <si>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</si>
  <si>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</si>
  <si>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</si>
  <si>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</si>
  <si>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</si>
  <si>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</si>
  <si>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</si>
  <si>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</si>
  <si>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</si>
  <si>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</si>
  <si>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</si>
  <si>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</si>
  <si>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</si>
  <si>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</si>
  <si>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</si>
  <si>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</si>
  <si>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</si>
  <si>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</si>
  <si>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</si>
  <si>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</si>
  <si>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</si>
  <si>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</si>
  <si>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</si>
  <si>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</si>
  <si>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</si>
  <si>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</si>
  <si>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</si>
  <si>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</si>
  <si>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</si>
  <si>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</si>
  <si>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</si>
  <si>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</si>
  <si>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</si>
  <si>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</si>
  <si>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</si>
  <si>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</si>
  <si>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</si>
  <si>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</si>
  <si>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</si>
  <si>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</si>
  <si>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</si>
  <si>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</si>
  <si>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</si>
  <si>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</si>
  <si>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</si>
  <si>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</si>
  <si>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</si>
  <si>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</si>
  <si>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</si>
  <si>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</si>
  <si>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</si>
  <si>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</si>
  <si>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</si>
  <si>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</si>
  <si>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</si>
  <si>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</si>
  <si>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</si>
  <si>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</si>
  <si>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</si>
  <si>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</si>
  <si>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</si>
  <si>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</si>
  <si>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</si>
  <si>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</si>
  <si>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</si>
  <si>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</si>
  <si>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</si>
  <si>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Smartivity Pump It Move It Hydraulic Crane</t>
  </si>
  <si>
    <t>Smartivity mechanical hand</t>
  </si>
  <si>
    <t>Smartivity microscope</t>
  </si>
  <si>
    <t>Smartivity Globetrotters</t>
  </si>
  <si>
    <t>Smartivity Pirate's Telescope</t>
  </si>
  <si>
    <t>Smartivity Infinity Calander organiser</t>
  </si>
  <si>
    <t>Smartivity Mega Science kit</t>
  </si>
  <si>
    <t>Rocket Launcher</t>
  </si>
  <si>
    <t>Table Lamp</t>
  </si>
  <si>
    <t>Missile Truck</t>
  </si>
  <si>
    <t>Interactive Clock</t>
  </si>
  <si>
    <t>Robotic Arm</t>
  </si>
  <si>
    <t>GRAND TOTAL</t>
  </si>
  <si>
    <t>KIDS JUNCTION</t>
  </si>
  <si>
    <t>Order ORD-260819-2651 - KIDS JUNCTION.pdf</t>
  </si>
  <si>
    <t>Smartivity Pinball Machine</t>
  </si>
  <si>
    <t>Solar System</t>
  </si>
  <si>
    <t>Colour Coder</t>
  </si>
  <si>
    <t>Airplanes Launchers</t>
  </si>
  <si>
    <t>Multibuilds - Spin-n-Go Kit</t>
  </si>
  <si>
    <t>Mechanical Xylofun Music Fun</t>
  </si>
  <si>
    <t>Smartivity Space Shooters</t>
  </si>
  <si>
    <t>SNIP 'N' STYLE</t>
  </si>
  <si>
    <t>WINDOW ART Keycharms</t>
  </si>
  <si>
    <t>Math Genius</t>
  </si>
  <si>
    <t>Memory On The Go</t>
  </si>
  <si>
    <t>Shape Coder</t>
  </si>
  <si>
    <t>Space Explorer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</si>
</sst>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12" fontId="0" fillId="0" borderId="0" xfId="0" applyNumberFormat="1"/>
    <xf numFmtId="9" fontId="0" fillId="0" borderId="0" xfId="1" applyFont="1"/>
    <xf numFmtId="0" fontId="2" fillId="6" borderId="2" xfId="0" applyFont="1" applyFill="1" applyBorder="1"/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2" fillId="6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6"/>
  <sheetViews>
    <sheetView tabSelected="1" zoomScale="74" zoomScaleNormal="110" workbookViewId="0">
      <selection activeCell="J6" sqref="J6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 t="s">
        <v>270</v>
      </c>
      <c r="D4" s="11"/>
      <c r="E4" s="11"/>
      <c r="F4" s="11"/>
    </row>
    <row r="5" spans="1:13" ht="22.05" customHeight="1" x14ac:dyDescent="0.3">
      <c r="B5" s="5" t="s">
        <v>238</v>
      </c>
      <c r="C5" s="10" t="s">
        <v>271</v>
      </c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A11" t="s">
        <v>81</v>
      </c>
      <c r="B11" t="s">
        <v>261</v>
      </c>
      <c r="C11">
        <v>2</v>
      </c>
      <c r="D11">
        <v>0</v>
      </c>
      <c r="E11">
        <v>849</v>
      </c>
      <c r="F11" t="str">
        <f>IF(ISBLANK(A11), "", IFERROR(INDEX('Price list'!B:B, MATCH(LEFT(UPPER(SUBSTITUTE(A11, " ", "")), 8) &amp; "*", 'Price list'!F:F, 0)), ""))</f>
        <v>SMRT1174</v>
      </c>
      <c r="G11">
        <f>IF(ISBLANK(A11), "", IFERROR(INDEX('Price list'!C:C, MATCH(LEFT(UPPER(SUBSTITUTE(A11, " ", "")), 8) &amp; "*", 'Price list'!F:F, 0)), 0))</f>
        <v>849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>
        <f>IF(ISBLANK(A11), "", IFERROR(IF(ROUND(H11,2)=0.05, INDEX(discount!C:C, MATCH($C$4, discount!A:A, 0)), IF(ROUND(H11,2)=0.18, INDEX(discount!E:E, MATCH($C$4, discount!A:A, 0)), IF(ROUND(H11,2)=0.12, INDEX(discount!D:D, MATCH($C$4, discount!A:A, 0)), IF(ROUND(H11,2)=0.28, INDEX(discount!F:F, MATCH($C$4, discount!A:A, 0)), INDEX(discount!C:C, MATCH($C$4, discount!A:A, 0)))))), 0))</f>
        <v>0.42859999999999998</v>
      </c>
      <c r="K11">
        <f t="shared" ref="K11:K35" si="0">IF(ISBLANK(A11), "", ROUND(G11*C11*J11,2))</f>
        <v>727.76</v>
      </c>
      <c r="L11">
        <f t="shared" ref="L11:L35" si="1">IF(ISBLANK(A11), "", (G11*C11)-K11)</f>
        <v>970.24</v>
      </c>
      <c r="M11" t="str">
        <f t="shared" ref="M11:M35" si="2"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">
      <c r="A12" t="s">
        <v>80</v>
      </c>
      <c r="B12" t="s">
        <v>272</v>
      </c>
      <c r="C12">
        <v>2</v>
      </c>
      <c r="D12">
        <v>0</v>
      </c>
      <c r="E12">
        <v>1599</v>
      </c>
      <c r="F12" t="str">
        <f>IF(ISBLANK(A12), "", IFERROR(INDEX('Price list'!B:B, MATCH(LEFT(UPPER(SUBSTITUTE(A12, " ", "")), 8) &amp; "*", 'Price list'!F:F, 0)), ""))</f>
        <v>SMRT1169</v>
      </c>
      <c r="G12">
        <f>IF(ISBLANK(A12), "", IFERROR(INDEX('Price list'!C:C, MATCH(LEFT(UPPER(SUBSTITUTE(A12, " ", "")), 8) &amp; "*", 'Price list'!F:F, 0)), 0))</f>
        <v>1599</v>
      </c>
      <c r="H12">
        <f>IF(ISBLANK(A12), "", IFERROR(INDEX('Price list'!E:E, MATCH(LEFT(UPPER(SUBSTITUTE(A12, " ", "")), 8) &amp; "*", 'Price list'!F:F, 0)), 0))</f>
        <v>0.05</v>
      </c>
      <c r="I12">
        <f>IF(ISBLANK(A12), "", IFERROR(INDEX('Price list'!D:D, MATCH(LEFT(UPPER(SUBSTITUTE(A12, " ", "")), 8) &amp; "*", 'Price list'!F:F, 0)), ""))</f>
        <v>95030020</v>
      </c>
      <c r="J12">
        <f>IF(ISBLANK(A12), "", IFERROR(IF(ROUND(H12,2)=0.05, INDEX(discount!C:C, MATCH($C$4, discount!A:A, 0)), IF(ROUND(H12,2)=0.18, INDEX(discount!E:E, MATCH($C$4, discount!A:A, 0)), IF(ROUND(H12,2)=0.12, INDEX(discount!D:D, MATCH($C$4, discount!A:A, 0)), IF(ROUND(H12,2)=0.28, INDEX(discount!F:F, MATCH($C$4, discount!A:A, 0)), INDEX(discount!C:C, MATCH($C$4, discount!A:A, 0)))))), 0))</f>
        <v>0.42859999999999998</v>
      </c>
      <c r="K12">
        <f t="shared" si="0"/>
        <v>1370.66</v>
      </c>
      <c r="L12">
        <f t="shared" si="1"/>
        <v>1827.34</v>
      </c>
      <c r="M12" t="str">
        <f t="shared" si="2"/>
        <v>✅ OK</v>
      </c>
    </row>
    <row r="13" spans="1:13" x14ac:dyDescent="0.3">
      <c r="A13" t="s">
        <v>154</v>
      </c>
      <c r="B13" t="s">
        <v>266</v>
      </c>
      <c r="C13">
        <v>2</v>
      </c>
      <c r="D13">
        <v>0</v>
      </c>
      <c r="E13">
        <v>1099</v>
      </c>
      <c r="F13" t="str">
        <f>IF(ISBLANK(A13), "", IFERROR(INDEX('Price list'!B:B, MATCH(LEFT(UPPER(SUBSTITUTE(A13, " ", "")), 8) &amp; "*", 'Price list'!F:F, 0)), ""))</f>
        <v>SMRT1301</v>
      </c>
      <c r="G13">
        <f>IF(ISBLANK(A13), "", IFERROR(INDEX('Price list'!C:C, MATCH(LEFT(UPPER(SUBSTITUTE(A13, " ", "")), 8) &amp; "*", 'Price list'!F:F, 0)), 0))</f>
        <v>1099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>
        <f>IF(ISBLANK(A13), "", IFERROR(IF(ROUND(H13,2)=0.05, INDEX(discount!C:C, MATCH($C$4, discount!A:A, 0)), IF(ROUND(H13,2)=0.18, INDEX(discount!E:E, MATCH($C$4, discount!A:A, 0)), IF(ROUND(H13,2)=0.12, INDEX(discount!D:D, MATCH($C$4, discount!A:A, 0)), IF(ROUND(H13,2)=0.28, INDEX(discount!F:F, MATCH($C$4, discount!A:A, 0)), INDEX(discount!C:C, MATCH($C$4, discount!A:A, 0)))))), 0))</f>
        <v>0.42859999999999998</v>
      </c>
      <c r="K13">
        <f t="shared" si="0"/>
        <v>942.06</v>
      </c>
      <c r="L13">
        <f t="shared" si="1"/>
        <v>1255.94</v>
      </c>
      <c r="M13" t="str">
        <f t="shared" si="2"/>
        <v>✅ OK</v>
      </c>
    </row>
    <row r="14" spans="1:13" x14ac:dyDescent="0.3">
      <c r="A14" t="s">
        <v>74</v>
      </c>
      <c r="B14" t="s">
        <v>258</v>
      </c>
      <c r="C14">
        <v>2</v>
      </c>
      <c r="D14">
        <v>0</v>
      </c>
      <c r="E14">
        <v>1249</v>
      </c>
      <c r="F14" t="str">
        <f>IF(ISBLANK(A14), "", IFERROR(INDEX('Price list'!B:B, MATCH(LEFT(UPPER(SUBSTITUTE(A14, " ", "")), 8) &amp; "*", 'Price list'!F:F, 0)), ""))</f>
        <v>SMRT1135</v>
      </c>
      <c r="G14">
        <f>IF(ISBLANK(A14), "", IFERROR(INDEX('Price list'!C:C, MATCH(LEFT(UPPER(SUBSTITUTE(A14, " ", "")), 8) &amp; "*", 'Price list'!F:F, 0)), 0))</f>
        <v>1249</v>
      </c>
      <c r="H14">
        <f>IF(ISBLANK(A14), "", IFERROR(INDEX('Price list'!E:E, MATCH(LEFT(UPPER(SUBSTITUTE(A14, " ", "")), 8) &amp; "*", 'Price list'!F:F, 0)), 0))</f>
        <v>0.05</v>
      </c>
      <c r="I14">
        <f>IF(ISBLANK(A14), "", IFERROR(INDEX('Price list'!D:D, MATCH(LEFT(UPPER(SUBSTITUTE(A14, " ", "")), 8) &amp; "*", 'Price list'!F:F, 0)), ""))</f>
        <v>95030020</v>
      </c>
      <c r="J14">
        <f>IF(ISBLANK(A14), "", IFERROR(IF(ROUND(H14,2)=0.05, INDEX(discount!C:C, MATCH($C$4, discount!A:A, 0)), IF(ROUND(H14,2)=0.18, INDEX(discount!E:E, MATCH($C$4, discount!A:A, 0)), IF(ROUND(H14,2)=0.12, INDEX(discount!D:D, MATCH($C$4, discount!A:A, 0)), IF(ROUND(H14,2)=0.28, INDEX(discount!F:F, MATCH($C$4, discount!A:A, 0)), INDEX(discount!C:C, MATCH($C$4, discount!A:A, 0)))))), 0))</f>
        <v>0.42859999999999998</v>
      </c>
      <c r="K14">
        <f t="shared" si="0"/>
        <v>1070.6400000000001</v>
      </c>
      <c r="L14">
        <f t="shared" si="1"/>
        <v>1427.36</v>
      </c>
      <c r="M14" t="str">
        <f t="shared" si="2"/>
        <v>✅ OK</v>
      </c>
    </row>
    <row r="15" spans="1:13" x14ac:dyDescent="0.3">
      <c r="A15" t="s">
        <v>156</v>
      </c>
      <c r="B15" t="s">
        <v>273</v>
      </c>
      <c r="C15">
        <v>2</v>
      </c>
      <c r="D15">
        <v>0</v>
      </c>
      <c r="E15">
        <v>1149</v>
      </c>
      <c r="F15" t="str">
        <f>IF(ISBLANK(A15), "", IFERROR(INDEX('Price list'!B:B, MATCH(LEFT(UPPER(SUBSTITUTE(A15, " ", "")), 8) &amp; "*", 'Price list'!F:F, 0)), ""))</f>
        <v>SMRT1303</v>
      </c>
      <c r="G15">
        <f>IF(ISBLANK(A15), "", IFERROR(INDEX('Price list'!C:C, MATCH(LEFT(UPPER(SUBSTITUTE(A15, " ", "")), 8) &amp; "*", 'Price list'!F:F, 0)), 0))</f>
        <v>1149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>
        <f>IF(ISBLANK(A15), "", IFERROR(IF(ROUND(H15,2)=0.05, INDEX(discount!C:C, MATCH($C$4, discount!A:A, 0)), IF(ROUND(H15,2)=0.18, INDEX(discount!E:E, MATCH($C$4, discount!A:A, 0)), IF(ROUND(H15,2)=0.12, INDEX(discount!D:D, MATCH($C$4, discount!A:A, 0)), IF(ROUND(H15,2)=0.28, INDEX(discount!F:F, MATCH($C$4, discount!A:A, 0)), INDEX(discount!C:C, MATCH($C$4, discount!A:A, 0)))))), 0))</f>
        <v>0.42859999999999998</v>
      </c>
      <c r="K15">
        <f t="shared" si="0"/>
        <v>984.92</v>
      </c>
      <c r="L15">
        <f t="shared" si="1"/>
        <v>1313.08</v>
      </c>
      <c r="M15" t="str">
        <f t="shared" si="2"/>
        <v>✅ OK</v>
      </c>
    </row>
    <row r="16" spans="1:13" x14ac:dyDescent="0.3">
      <c r="A16" t="s">
        <v>152</v>
      </c>
      <c r="B16" t="s">
        <v>274</v>
      </c>
      <c r="C16">
        <v>2</v>
      </c>
      <c r="D16">
        <v>0</v>
      </c>
      <c r="E16">
        <v>599</v>
      </c>
      <c r="F16" t="str">
        <f>IF(ISBLANK(A16), "", IFERROR(INDEX('Price list'!B:B, MATCH(LEFT(UPPER(SUBSTITUTE(A16, " ", "")), 8) &amp; "*", 'Price list'!F:F, 0)), ""))</f>
        <v>SMRT1299</v>
      </c>
      <c r="G16">
        <f>IF(ISBLANK(A16), "", IFERROR(INDEX('Price list'!C:C, MATCH(LEFT(UPPER(SUBSTITUTE(A16, " ", "")), 8) &amp; "*", 'Price list'!F:F, 0)), 0))</f>
        <v>599</v>
      </c>
      <c r="H16">
        <f>IF(ISBLANK(A16), "", IFERROR(INDEX('Price list'!E:E, MATCH(LEFT(UPPER(SUBSTITUTE(A16, " ", "")), 8) &amp; "*", 'Price list'!F:F, 0)), 0))</f>
        <v>0.05</v>
      </c>
      <c r="I16">
        <f>IF(ISBLANK(A16), "", IFERROR(INDEX('Price list'!D:D, MATCH(LEFT(UPPER(SUBSTITUTE(A16, " ", "")), 8) &amp; "*", 'Price list'!F:F, 0)), ""))</f>
        <v>95030020</v>
      </c>
      <c r="J16">
        <f>IF(ISBLANK(A16), "", IFERROR(IF(ROUND(H16,2)=0.05, INDEX(discount!C:C, MATCH($C$4, discount!A:A, 0)), IF(ROUND(H16,2)=0.18, INDEX(discount!E:E, MATCH($C$4, discount!A:A, 0)), IF(ROUND(H16,2)=0.12, INDEX(discount!D:D, MATCH($C$4, discount!A:A, 0)), IF(ROUND(H16,2)=0.28, INDEX(discount!F:F, MATCH($C$4, discount!A:A, 0)), INDEX(discount!C:C, MATCH($C$4, discount!A:A, 0)))))), 0))</f>
        <v>0.42859999999999998</v>
      </c>
      <c r="K16">
        <f t="shared" si="0"/>
        <v>513.46</v>
      </c>
      <c r="L16">
        <f t="shared" si="1"/>
        <v>684.54</v>
      </c>
      <c r="M16" t="str">
        <f t="shared" si="2"/>
        <v>✅ OK</v>
      </c>
    </row>
    <row r="17" spans="1:13" x14ac:dyDescent="0.3">
      <c r="A17" t="s">
        <v>158</v>
      </c>
      <c r="B17" t="s">
        <v>275</v>
      </c>
      <c r="C17">
        <v>2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>
        <f>IF(ISBLANK(A17), "", IFERROR(IF(ROUND(H17,2)=0.05, INDEX(discount!C:C, MATCH($C$4, discount!A:A, 0)), IF(ROUND(H17,2)=0.18, INDEX(discount!E:E, MATCH($C$4, discount!A:A, 0)), IF(ROUND(H17,2)=0.12, INDEX(discount!D:D, MATCH($C$4, discount!A:A, 0)), IF(ROUND(H17,2)=0.28, INDEX(discount!F:F, MATCH($C$4, discount!A:A, 0)), INDEX(discount!C:C, MATCH($C$4, discount!A:A, 0)))))), 0))</f>
        <v>0.42859999999999998</v>
      </c>
      <c r="K17">
        <f t="shared" si="0"/>
        <v>684.9</v>
      </c>
      <c r="L17">
        <f t="shared" si="1"/>
        <v>913.1</v>
      </c>
      <c r="M17" t="str">
        <f t="shared" si="2"/>
        <v>✅ OK</v>
      </c>
    </row>
    <row r="18" spans="1:13" x14ac:dyDescent="0.3">
      <c r="A18" t="s">
        <v>155</v>
      </c>
      <c r="B18" t="s">
        <v>267</v>
      </c>
      <c r="C18">
        <v>2</v>
      </c>
      <c r="D18">
        <v>0</v>
      </c>
      <c r="E18">
        <v>999</v>
      </c>
      <c r="F18" t="str">
        <f>IF(ISBLANK(A18), "", IFERROR(INDEX('Price list'!B:B, MATCH(LEFT(UPPER(SUBSTITUTE(A18, " ", "")), 8) &amp; "*", 'Price list'!F:F, 0)), ""))</f>
        <v>SMRT1302</v>
      </c>
      <c r="G18">
        <f>IF(ISBLANK(A18), "", IFERROR(INDEX('Price list'!C:C, MATCH(LEFT(UPPER(SUBSTITUTE(A18, " ", "")), 8) &amp; "*", 'Price list'!F:F, 0)), 0))</f>
        <v>999</v>
      </c>
      <c r="H18">
        <f>IF(ISBLANK(A18), "", IFERROR(INDEX('Price list'!E:E, MATCH(LEFT(UPPER(SUBSTITUTE(A18, " ", "")), 8) &amp; "*", 'Price list'!F:F, 0)), 0))</f>
        <v>0.18</v>
      </c>
      <c r="I18">
        <f>IF(ISBLANK(A18), "", IFERROR(INDEX('Price list'!D:D, MATCH(LEFT(UPPER(SUBSTITUTE(A18, " ", "")), 8) &amp; "*", 'Price list'!F:F, 0)), ""))</f>
        <v>95030010</v>
      </c>
      <c r="J18">
        <f>IF(ISBLANK(A18), "", IFERROR(IF(ROUND(H18,2)=0.05, INDEX(discount!C:C, MATCH($C$4, discount!A:A, 0)), IF(ROUND(H18,2)=0.18, INDEX(discount!E:E, MATCH($C$4, discount!A:A, 0)), IF(ROUND(H18,2)=0.12, INDEX(discount!D:D, MATCH($C$4, discount!A:A, 0)), IF(ROUND(H18,2)=0.28, INDEX(discount!F:F, MATCH($C$4, discount!A:A, 0)), INDEX(discount!C:C, MATCH($C$4, discount!A:A, 0)))))), 0))</f>
        <v>0.49149999999999999</v>
      </c>
      <c r="K18">
        <f t="shared" si="0"/>
        <v>982.02</v>
      </c>
      <c r="L18">
        <f t="shared" si="1"/>
        <v>1015.98</v>
      </c>
      <c r="M18" t="str">
        <f t="shared" si="2"/>
        <v>✅ OK</v>
      </c>
    </row>
    <row r="19" spans="1:13" x14ac:dyDescent="0.3">
      <c r="A19" t="s">
        <v>140</v>
      </c>
      <c r="B19" t="s">
        <v>264</v>
      </c>
      <c r="C19">
        <v>2</v>
      </c>
      <c r="D19">
        <v>0</v>
      </c>
      <c r="E19">
        <v>849</v>
      </c>
      <c r="F19" t="str">
        <f>IF(ISBLANK(A19), "", IFERROR(INDEX('Price list'!B:B, MATCH(LEFT(UPPER(SUBSTITUTE(A19, " ", "")), 8) &amp; "*", 'Price list'!F:F, 0)), ""))</f>
        <v>SMRT1279</v>
      </c>
      <c r="G19">
        <f>IF(ISBLANK(A19), "", IFERROR(INDEX('Price list'!C:C, MATCH(LEFT(UPPER(SUBSTITUTE(A19, " ", "")), 8) &amp; "*", 'Price list'!F:F, 0)), 0))</f>
        <v>849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>
        <f>IF(ISBLANK(A19), "", IFERROR(IF(ROUND(H19,2)=0.05, INDEX(discount!C:C, MATCH($C$4, discount!A:A, 0)), IF(ROUND(H19,2)=0.18, INDEX(discount!E:E, MATCH($C$4, discount!A:A, 0)), IF(ROUND(H19,2)=0.12, INDEX(discount!D:D, MATCH($C$4, discount!A:A, 0)), IF(ROUND(H19,2)=0.28, INDEX(discount!F:F, MATCH($C$4, discount!A:A, 0)), INDEX(discount!C:C, MATCH($C$4, discount!A:A, 0)))))), 0))</f>
        <v>0.42859999999999998</v>
      </c>
      <c r="K19">
        <f t="shared" si="0"/>
        <v>727.76</v>
      </c>
      <c r="L19">
        <f t="shared" si="1"/>
        <v>970.24</v>
      </c>
      <c r="M19" t="str">
        <f t="shared" si="2"/>
        <v>✅ OK</v>
      </c>
    </row>
    <row r="20" spans="1:13" x14ac:dyDescent="0.3">
      <c r="A20" t="s">
        <v>118</v>
      </c>
      <c r="B20" t="s">
        <v>276</v>
      </c>
      <c r="C20">
        <v>2</v>
      </c>
      <c r="D20">
        <v>0</v>
      </c>
      <c r="E20">
        <v>1099</v>
      </c>
      <c r="F20" t="str">
        <f>IF(ISBLANK(A20), "", IFERROR(INDEX('Price list'!B:B, MATCH(LEFT(UPPER(SUBSTITUTE(A20, " ", "")), 8) &amp; "*", 'Price list'!F:F, 0)), ""))</f>
        <v>SMRT1238</v>
      </c>
      <c r="G20">
        <f>IF(ISBLANK(A20), "", IFERROR(INDEX('Price list'!C:C, MATCH(LEFT(UPPER(SUBSTITUTE(A20, " ", "")), 8) &amp; "*", 'Price list'!F:F, 0)), 0))</f>
        <v>1099</v>
      </c>
      <c r="H20">
        <f>IF(ISBLANK(A20), "", IFERROR(INDEX('Price list'!E:E, MATCH(LEFT(UPPER(SUBSTITUTE(A20, " ", "")), 8) &amp; "*", 'Price list'!F:F, 0)), 0))</f>
        <v>0.05</v>
      </c>
      <c r="I20">
        <f>IF(ISBLANK(A20), "", IFERROR(INDEX('Price list'!D:D, MATCH(LEFT(UPPER(SUBSTITUTE(A20, " ", "")), 8) &amp; "*", 'Price list'!F:F, 0)), ""))</f>
        <v>95030020</v>
      </c>
      <c r="J20">
        <f>IF(ISBLANK(A20), "", IFERROR(IF(ROUND(H20,2)=0.05, INDEX(discount!C:C, MATCH($C$4, discount!A:A, 0)), IF(ROUND(H20,2)=0.18, INDEX(discount!E:E, MATCH($C$4, discount!A:A, 0)), IF(ROUND(H20,2)=0.12, INDEX(discount!D:D, MATCH($C$4, discount!A:A, 0)), IF(ROUND(H20,2)=0.28, INDEX(discount!F:F, MATCH($C$4, discount!A:A, 0)), INDEX(discount!C:C, MATCH($C$4, discount!A:A, 0)))))), 0))</f>
        <v>0.42859999999999998</v>
      </c>
      <c r="K20">
        <f t="shared" si="0"/>
        <v>942.06</v>
      </c>
      <c r="L20">
        <f t="shared" si="1"/>
        <v>1255.94</v>
      </c>
      <c r="M20" t="str">
        <f t="shared" si="2"/>
        <v>✅ OK</v>
      </c>
    </row>
    <row r="21" spans="1:13" x14ac:dyDescent="0.3">
      <c r="A21" t="s">
        <v>149</v>
      </c>
      <c r="B21" t="s">
        <v>265</v>
      </c>
      <c r="C21">
        <v>2</v>
      </c>
      <c r="D21">
        <v>0</v>
      </c>
      <c r="E21">
        <v>1299</v>
      </c>
      <c r="F21" t="str">
        <f>IF(ISBLANK(A21), "", IFERROR(INDEX('Price list'!B:B, MATCH(LEFT(UPPER(SUBSTITUTE(A21, " ", "")), 8) &amp; "*", 'Price list'!F:F, 0)), ""))</f>
        <v>SMRT1296</v>
      </c>
      <c r="G21">
        <f>IF(ISBLANK(A21), "", IFERROR(INDEX('Price list'!C:C, MATCH(LEFT(UPPER(SUBSTITUTE(A21, " ", "")), 8) &amp; "*", 'Price list'!F:F, 0)), 0))</f>
        <v>1299</v>
      </c>
      <c r="H21">
        <f>IF(ISBLANK(A21), "", IFERROR(INDEX('Price list'!E:E, MATCH(LEFT(UPPER(SUBSTITUTE(A21, " ", "")), 8) &amp; "*", 'Price list'!F:F, 0)), 0))</f>
        <v>0.18</v>
      </c>
      <c r="I21">
        <f>IF(ISBLANK(A21), "", IFERROR(INDEX('Price list'!D:D, MATCH(LEFT(UPPER(SUBSTITUTE(A21, " ", "")), 8) &amp; "*", 'Price list'!F:F, 0)), ""))</f>
        <v>95030010</v>
      </c>
      <c r="J21">
        <f>IF(ISBLANK(A21), "", IFERROR(IF(ROUND(H21,2)=0.05, INDEX(discount!C:C, MATCH($C$4, discount!A:A, 0)), IF(ROUND(H21,2)=0.18, INDEX(discount!E:E, MATCH($C$4, discount!A:A, 0)), IF(ROUND(H21,2)=0.12, INDEX(discount!D:D, MATCH($C$4, discount!A:A, 0)), IF(ROUND(H21,2)=0.28, INDEX(discount!F:F, MATCH($C$4, discount!A:A, 0)), INDEX(discount!C:C, MATCH($C$4, discount!A:A, 0)))))), 0))</f>
        <v>0.49149999999999999</v>
      </c>
      <c r="K21">
        <f t="shared" si="0"/>
        <v>1276.92</v>
      </c>
      <c r="L21">
        <f t="shared" si="1"/>
        <v>1321.08</v>
      </c>
      <c r="M21" t="str">
        <f t="shared" si="2"/>
        <v>✅ OK</v>
      </c>
    </row>
    <row r="22" spans="1:13" x14ac:dyDescent="0.3">
      <c r="A22" t="s">
        <v>168</v>
      </c>
      <c r="B22" t="s">
        <v>268</v>
      </c>
      <c r="C22">
        <v>2</v>
      </c>
      <c r="D22">
        <v>0</v>
      </c>
      <c r="E22">
        <v>899</v>
      </c>
      <c r="F22" t="str">
        <f>IF(ISBLANK(A22), "", IFERROR(INDEX('Price list'!B:B, MATCH(LEFT(UPPER(SUBSTITUTE(A22, " ", "")), 8) &amp; "*", 'Price list'!F:F, 0)), ""))</f>
        <v>SMRT1325</v>
      </c>
      <c r="G22">
        <f>IF(ISBLANK(A22), "", IFERROR(INDEX('Price list'!C:C, MATCH(LEFT(UPPER(SUBSTITUTE(A22, " ", "")), 8) &amp; "*", 'Price list'!F:F, 0)), 0))</f>
        <v>899</v>
      </c>
      <c r="H22">
        <f>IF(ISBLANK(A22), "", IFERROR(INDEX('Price list'!E:E, MATCH(LEFT(UPPER(SUBSTITUTE(A22, " ", "")), 8) &amp; "*", 'Price list'!F:F, 0)), 0))</f>
        <v>0.05</v>
      </c>
      <c r="I22">
        <f>IF(ISBLANK(A22), "", IFERROR(INDEX('Price list'!D:D, MATCH(LEFT(UPPER(SUBSTITUTE(A22, " ", "")), 8) &amp; "*", 'Price list'!F:F, 0)), ""))</f>
        <v>95030020</v>
      </c>
      <c r="J22">
        <f>IF(ISBLANK(A22), "", IFERROR(IF(ROUND(H22,2)=0.05, INDEX(discount!C:C, MATCH($C$4, discount!A:A, 0)), IF(ROUND(H22,2)=0.18, INDEX(discount!E:E, MATCH($C$4, discount!A:A, 0)), IF(ROUND(H22,2)=0.12, INDEX(discount!D:D, MATCH($C$4, discount!A:A, 0)), IF(ROUND(H22,2)=0.28, INDEX(discount!F:F, MATCH($C$4, discount!A:A, 0)), INDEX(discount!C:C, MATCH($C$4, discount!A:A, 0)))))), 0))</f>
        <v>0.42859999999999998</v>
      </c>
      <c r="K22">
        <f t="shared" si="0"/>
        <v>770.62</v>
      </c>
      <c r="L22">
        <f t="shared" si="1"/>
        <v>1027.3800000000001</v>
      </c>
      <c r="M22" t="str">
        <f t="shared" si="2"/>
        <v>✅ OK</v>
      </c>
    </row>
    <row r="23" spans="1:13" x14ac:dyDescent="0.3">
      <c r="A23" t="s">
        <v>24</v>
      </c>
      <c r="B23" t="s">
        <v>277</v>
      </c>
      <c r="C23">
        <v>2</v>
      </c>
      <c r="D23">
        <v>0</v>
      </c>
      <c r="E23">
        <v>1399</v>
      </c>
      <c r="F23" t="str">
        <f>IF(ISBLANK(A23), "", IFERROR(INDEX('Price list'!B:B, MATCH(LEFT(UPPER(SUBSTITUTE(A23, " ", "")), 8) &amp; "*", 'Price list'!F:F, 0)), ""))</f>
        <v>SMRT1032</v>
      </c>
      <c r="G23">
        <f>IF(ISBLANK(A23), "", IFERROR(INDEX('Price list'!C:C, MATCH(LEFT(UPPER(SUBSTITUTE(A23, " ", "")), 8) &amp; "*", 'Price list'!F:F, 0)), 0))</f>
        <v>1399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>
        <f>IF(ISBLANK(A23), "", IFERROR(IF(ROUND(H23,2)=0.05, INDEX(discount!C:C, MATCH($C$4, discount!A:A, 0)), IF(ROUND(H23,2)=0.18, INDEX(discount!E:E, MATCH($C$4, discount!A:A, 0)), IF(ROUND(H23,2)=0.12, INDEX(discount!D:D, MATCH($C$4, discount!A:A, 0)), IF(ROUND(H23,2)=0.28, INDEX(discount!F:F, MATCH($C$4, discount!A:A, 0)), INDEX(discount!C:C, MATCH($C$4, discount!A:A, 0)))))), 0))</f>
        <v>0.42859999999999998</v>
      </c>
      <c r="K23">
        <f t="shared" si="0"/>
        <v>1199.22</v>
      </c>
      <c r="L23">
        <f t="shared" si="1"/>
        <v>1598.78</v>
      </c>
      <c r="M23" t="str">
        <f t="shared" si="2"/>
        <v>✅ OK</v>
      </c>
    </row>
    <row r="24" spans="1:13" x14ac:dyDescent="0.3">
      <c r="A24" t="s">
        <v>86</v>
      </c>
      <c r="B24" t="s">
        <v>262</v>
      </c>
      <c r="C24">
        <v>2</v>
      </c>
      <c r="D24">
        <v>0</v>
      </c>
      <c r="E24">
        <v>1099</v>
      </c>
      <c r="F24" t="str">
        <f>IF(ISBLANK(A24), "", IFERROR(INDEX('Price list'!B:B, MATCH(LEFT(UPPER(SUBSTITUTE(A24, " ", "")), 8) &amp; "*", 'Price list'!F:F, 0)), ""))</f>
        <v>SMRT1179</v>
      </c>
      <c r="G24">
        <f>IF(ISBLANK(A24), "", IFERROR(INDEX('Price list'!C:C, MATCH(LEFT(UPPER(SUBSTITUTE(A24, " ", "")), 8) &amp; "*", 'Price list'!F:F, 0)), 0))</f>
        <v>1099</v>
      </c>
      <c r="H24">
        <f>IF(ISBLANK(A24), "", IFERROR(INDEX('Price list'!E:E, MATCH(LEFT(UPPER(SUBSTITUTE(A24, " ", "")), 8) &amp; "*", 'Price list'!F:F, 0)), 0))</f>
        <v>0.05</v>
      </c>
      <c r="I24">
        <f>IF(ISBLANK(A24), "", IFERROR(INDEX('Price list'!D:D, MATCH(LEFT(UPPER(SUBSTITUTE(A24, " ", "")), 8) &amp; "*", 'Price list'!F:F, 0)), ""))</f>
        <v>95030020</v>
      </c>
      <c r="J24">
        <f>IF(ISBLANK(A24), "", IFERROR(IF(ROUND(H24,2)=0.05, INDEX(discount!C:C, MATCH($C$4, discount!A:A, 0)), IF(ROUND(H24,2)=0.18, INDEX(discount!E:E, MATCH($C$4, discount!A:A, 0)), IF(ROUND(H24,2)=0.12, INDEX(discount!D:D, MATCH($C$4, discount!A:A, 0)), IF(ROUND(H24,2)=0.28, INDEX(discount!F:F, MATCH($C$4, discount!A:A, 0)), INDEX(discount!C:C, MATCH($C$4, discount!A:A, 0)))))), 0))</f>
        <v>0.42859999999999998</v>
      </c>
      <c r="K24">
        <f t="shared" si="0"/>
        <v>942.06</v>
      </c>
      <c r="L24">
        <f t="shared" si="1"/>
        <v>1255.94</v>
      </c>
      <c r="M24" t="str">
        <f t="shared" si="2"/>
        <v>✅ OK</v>
      </c>
    </row>
    <row r="25" spans="1:13" x14ac:dyDescent="0.3">
      <c r="A25" t="s">
        <v>75</v>
      </c>
      <c r="B25" t="s">
        <v>259</v>
      </c>
      <c r="C25">
        <v>2</v>
      </c>
      <c r="D25">
        <v>0</v>
      </c>
      <c r="E25">
        <v>1259</v>
      </c>
      <c r="F25" t="str">
        <f>IF(ISBLANK(A25), "", IFERROR(INDEX('Price list'!B:B, MATCH(LEFT(UPPER(SUBSTITUTE(A25, " ", "")), 8) &amp; "*", 'Price list'!F:F, 0)), ""))</f>
        <v>SMRT1139-18</v>
      </c>
      <c r="G25">
        <f>IF(ISBLANK(A25), "", IFERROR(INDEX('Price list'!C:C, MATCH(LEFT(UPPER(SUBSTITUTE(A25, " ", "")), 8) &amp; "*", 'Price list'!F:F, 0)), 0))</f>
        <v>1259</v>
      </c>
      <c r="H25">
        <f>IF(ISBLANK(A25), "", IFERROR(INDEX('Price list'!E:E, MATCH(LEFT(UPPER(SUBSTITUTE(A25, " ", "")), 8) &amp; "*", 'Price list'!F:F, 0)), 0))</f>
        <v>0.18</v>
      </c>
      <c r="I25">
        <f>IF(ISBLANK(A25), "", IFERROR(INDEX('Price list'!D:D, MATCH(LEFT(UPPER(SUBSTITUTE(A25, " ", "")), 8) &amp; "*", 'Price list'!F:F, 0)), ""))</f>
        <v>95030010</v>
      </c>
      <c r="J25">
        <f>IF(ISBLANK(A25), "", IFERROR(IF(ROUND(H25,2)=0.05, INDEX(discount!C:C, MATCH($C$4, discount!A:A, 0)), IF(ROUND(H25,2)=0.18, INDEX(discount!E:E, MATCH($C$4, discount!A:A, 0)), IF(ROUND(H25,2)=0.12, INDEX(discount!D:D, MATCH($C$4, discount!A:A, 0)), IF(ROUND(H25,2)=0.28, INDEX(discount!F:F, MATCH($C$4, discount!A:A, 0)), INDEX(discount!C:C, MATCH($C$4, discount!A:A, 0)))))), 0))</f>
        <v>0.49149999999999999</v>
      </c>
      <c r="K25">
        <f t="shared" si="0"/>
        <v>1237.5999999999999</v>
      </c>
      <c r="L25">
        <f t="shared" si="1"/>
        <v>1280.4000000000001</v>
      </c>
      <c r="M25" t="str">
        <f t="shared" si="2"/>
        <v>✅ OK</v>
      </c>
    </row>
    <row r="26" spans="1:13" x14ac:dyDescent="0.3">
      <c r="A26" t="s">
        <v>14</v>
      </c>
      <c r="B26" t="s">
        <v>257</v>
      </c>
      <c r="C26">
        <v>2</v>
      </c>
      <c r="D26">
        <v>0</v>
      </c>
      <c r="E26">
        <v>1349</v>
      </c>
      <c r="F26" t="str">
        <f>IF(ISBLANK(A26), "", IFERROR(INDEX('Price list'!B:B, MATCH(LEFT(UPPER(SUBSTITUTE(A26, " ", "")), 8) &amp; "*", 'Price list'!F:F, 0)), ""))</f>
        <v>SMRT1018</v>
      </c>
      <c r="G26">
        <f>IF(ISBLANK(A26), "", IFERROR(INDEX('Price list'!C:C, MATCH(LEFT(UPPER(SUBSTITUTE(A26, " ", "")), 8) &amp; "*", 'Price list'!F:F, 0)), 0))</f>
        <v>1349</v>
      </c>
      <c r="H26">
        <f>IF(ISBLANK(A26), "", IFERROR(INDEX('Price list'!E:E, MATCH(LEFT(UPPER(SUBSTITUTE(A26, " ", "")), 8) &amp; "*", 'Price list'!F:F, 0)), 0))</f>
        <v>0.05</v>
      </c>
      <c r="I26">
        <f>IF(ISBLANK(A26), "", IFERROR(INDEX('Price list'!D:D, MATCH(LEFT(UPPER(SUBSTITUTE(A26, " ", "")), 8) &amp; "*", 'Price list'!F:F, 0)), ""))</f>
        <v>95030020</v>
      </c>
      <c r="J26">
        <f>IF(ISBLANK(A26), "", IFERROR(IF(ROUND(H26,2)=0.05, INDEX(discount!C:C, MATCH($C$4, discount!A:A, 0)), IF(ROUND(H26,2)=0.18, INDEX(discount!E:E, MATCH($C$4, discount!A:A, 0)), IF(ROUND(H26,2)=0.12, INDEX(discount!D:D, MATCH($C$4, discount!A:A, 0)), IF(ROUND(H26,2)=0.28, INDEX(discount!F:F, MATCH($C$4, discount!A:A, 0)), INDEX(discount!C:C, MATCH($C$4, discount!A:A, 0)))))), 0))</f>
        <v>0.42859999999999998</v>
      </c>
      <c r="K26">
        <f t="shared" si="0"/>
        <v>1156.3599999999999</v>
      </c>
      <c r="L26">
        <f t="shared" si="1"/>
        <v>1541.64</v>
      </c>
      <c r="M26" t="str">
        <f t="shared" si="2"/>
        <v>✅ OK</v>
      </c>
    </row>
    <row r="27" spans="1:13" x14ac:dyDescent="0.3">
      <c r="A27" t="s">
        <v>78</v>
      </c>
      <c r="B27" t="s">
        <v>260</v>
      </c>
      <c r="C27">
        <v>2</v>
      </c>
      <c r="D27">
        <v>0</v>
      </c>
      <c r="E27">
        <v>1549</v>
      </c>
      <c r="F27" t="str">
        <f>IF(ISBLANK(A27), "", IFERROR(INDEX('Price list'!B:B, MATCH(LEFT(UPPER(SUBSTITUTE(A27, " ", "")), 8) &amp; "*", 'Price list'!F:F, 0)), ""))</f>
        <v>SMRT1165</v>
      </c>
      <c r="G27">
        <f>IF(ISBLANK(A27), "", IFERROR(INDEX('Price list'!C:C, MATCH(LEFT(UPPER(SUBSTITUTE(A27, " ", "")), 8) &amp; "*", 'Price list'!F:F, 0)), 0))</f>
        <v>1549</v>
      </c>
      <c r="H27">
        <f>IF(ISBLANK(A27), "", IFERROR(INDEX('Price list'!E:E, MATCH(LEFT(UPPER(SUBSTITUTE(A27, " ", "")), 8) &amp; "*", 'Price list'!F:F, 0)), 0))</f>
        <v>0.05</v>
      </c>
      <c r="I27">
        <f>IF(ISBLANK(A27), "", IFERROR(INDEX('Price list'!D:D, MATCH(LEFT(UPPER(SUBSTITUTE(A27, " ", "")), 8) &amp; "*", 'Price list'!F:F, 0)), ""))</f>
        <v>95030020</v>
      </c>
      <c r="J27">
        <f>IF(ISBLANK(A27), "", IFERROR(IF(ROUND(H27,2)=0.05, INDEX(discount!C:C, MATCH($C$4, discount!A:A, 0)), IF(ROUND(H27,2)=0.18, INDEX(discount!E:E, MATCH($C$4, discount!A:A, 0)), IF(ROUND(H27,2)=0.12, INDEX(discount!D:D, MATCH($C$4, discount!A:A, 0)), IF(ROUND(H27,2)=0.28, INDEX(discount!F:F, MATCH($C$4, discount!A:A, 0)), INDEX(discount!C:C, MATCH($C$4, discount!A:A, 0)))))), 0))</f>
        <v>0.42859999999999998</v>
      </c>
      <c r="K27">
        <f t="shared" si="0"/>
        <v>1327.8</v>
      </c>
      <c r="L27">
        <f t="shared" si="1"/>
        <v>1770.2</v>
      </c>
      <c r="M27" t="str">
        <f t="shared" si="2"/>
        <v>✅ OK</v>
      </c>
    </row>
    <row r="28" spans="1:13" x14ac:dyDescent="0.3">
      <c r="A28" t="s">
        <v>91</v>
      </c>
      <c r="B28" t="s">
        <v>278</v>
      </c>
      <c r="C28">
        <v>2</v>
      </c>
      <c r="D28">
        <v>0</v>
      </c>
      <c r="E28">
        <v>1159</v>
      </c>
      <c r="F28" t="str">
        <f>IF(ISBLANK(A28), "", IFERROR(INDEX('Price list'!B:B, MATCH(LEFT(UPPER(SUBSTITUTE(A28, " ", "")), 8) &amp; "*", 'Price list'!F:F, 0)), ""))</f>
        <v>SMRT1184</v>
      </c>
      <c r="G28">
        <f>IF(ISBLANK(A28), "", IFERROR(INDEX('Price list'!C:C, MATCH(LEFT(UPPER(SUBSTITUTE(A28, " ", "")), 8) &amp; "*", 'Price list'!F:F, 0)), 0))</f>
        <v>1159</v>
      </c>
      <c r="H28">
        <f>IF(ISBLANK(A28), "", IFERROR(INDEX('Price list'!E:E, MATCH(LEFT(UPPER(SUBSTITUTE(A28, " ", "")), 8) &amp; "*", 'Price list'!F:F, 0)), 0))</f>
        <v>0.05</v>
      </c>
      <c r="I28">
        <f>IF(ISBLANK(A28), "", IFERROR(INDEX('Price list'!D:D, MATCH(LEFT(UPPER(SUBSTITUTE(A28, " ", "")), 8) &amp; "*", 'Price list'!F:F, 0)), ""))</f>
        <v>95030020</v>
      </c>
      <c r="J28">
        <f>IF(ISBLANK(A28), "", IFERROR(IF(ROUND(H28,2)=0.05, INDEX(discount!C:C, MATCH($C$4, discount!A:A, 0)), IF(ROUND(H28,2)=0.18, INDEX(discount!E:E, MATCH($C$4, discount!A:A, 0)), IF(ROUND(H28,2)=0.12, INDEX(discount!D:D, MATCH($C$4, discount!A:A, 0)), IF(ROUND(H28,2)=0.28, INDEX(discount!F:F, MATCH($C$4, discount!A:A, 0)), INDEX(discount!C:C, MATCH($C$4, discount!A:A, 0)))))), 0))</f>
        <v>0.42859999999999998</v>
      </c>
      <c r="K28">
        <f t="shared" si="0"/>
        <v>993.49</v>
      </c>
      <c r="L28">
        <f t="shared" si="1"/>
        <v>1324.51</v>
      </c>
      <c r="M28" t="str">
        <f t="shared" si="2"/>
        <v>✅ OK</v>
      </c>
    </row>
    <row r="29" spans="1:13" x14ac:dyDescent="0.3">
      <c r="A29" t="s">
        <v>98</v>
      </c>
      <c r="B29" t="s">
        <v>263</v>
      </c>
      <c r="C29">
        <v>2</v>
      </c>
      <c r="D29">
        <v>0</v>
      </c>
      <c r="E29">
        <v>1099</v>
      </c>
      <c r="F29" t="str">
        <f>IF(ISBLANK(A29), "", IFERROR(INDEX('Price list'!B:B, MATCH(LEFT(UPPER(SUBSTITUTE(A29, " ", "")), 8) &amp; "*", 'Price list'!F:F, 0)), ""))</f>
        <v>SMRT1192</v>
      </c>
      <c r="G29">
        <f>IF(ISBLANK(A29), "", IFERROR(INDEX('Price list'!C:C, MATCH(LEFT(UPPER(SUBSTITUTE(A29, " ", "")), 8) &amp; "*", 'Price list'!F:F, 0)), 0))</f>
        <v>1099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>
        <f>IF(ISBLANK(A29), "", IFERROR(IF(ROUND(H29,2)=0.05, INDEX(discount!C:C, MATCH($C$4, discount!A:A, 0)), IF(ROUND(H29,2)=0.18, INDEX(discount!E:E, MATCH($C$4, discount!A:A, 0)), IF(ROUND(H29,2)=0.12, INDEX(discount!D:D, MATCH($C$4, discount!A:A, 0)), IF(ROUND(H29,2)=0.28, INDEX(discount!F:F, MATCH($C$4, discount!A:A, 0)), INDEX(discount!C:C, MATCH($C$4, discount!A:A, 0)))))), 0))</f>
        <v>0.42859999999999998</v>
      </c>
      <c r="K29">
        <f t="shared" si="0"/>
        <v>942.06</v>
      </c>
      <c r="L29">
        <f t="shared" si="1"/>
        <v>1255.94</v>
      </c>
      <c r="M29" t="str">
        <f t="shared" si="2"/>
        <v>✅ OK</v>
      </c>
    </row>
    <row r="30" spans="1:13" x14ac:dyDescent="0.3">
      <c r="A30" t="s">
        <v>174</v>
      </c>
      <c r="B30" t="s">
        <v>279</v>
      </c>
      <c r="C30">
        <v>2</v>
      </c>
      <c r="D30">
        <v>0</v>
      </c>
      <c r="E30">
        <v>649</v>
      </c>
      <c r="F30" t="str">
        <f>IF(ISBLANK(A30), "", IFERROR(INDEX('Price list'!B:B, MATCH(LEFT(UPPER(SUBSTITUTE(A30, " ", "")), 8) &amp; "*", 'Price list'!F:F, 0)), ""))</f>
        <v>SMRT1335</v>
      </c>
      <c r="G30">
        <f>IF(ISBLANK(A30), "", IFERROR(INDEX('Price list'!C:C, MATCH(LEFT(UPPER(SUBSTITUTE(A30, " ", "")), 8) &amp; "*", 'Price list'!F:F, 0)), 0))</f>
        <v>649</v>
      </c>
      <c r="H30">
        <f>IF(ISBLANK(A30), "", IFERROR(INDEX('Price list'!E:E, MATCH(LEFT(UPPER(SUBSTITUTE(A30, " ", "")), 8) &amp; "*", 'Price list'!F:F, 0)), 0))</f>
        <v>0.05</v>
      </c>
      <c r="I30">
        <f>IF(ISBLANK(A30), "", IFERROR(INDEX('Price list'!D:D, MATCH(LEFT(UPPER(SUBSTITUTE(A30, " ", "")), 8) &amp; "*", 'Price list'!F:F, 0)), ""))</f>
        <v>95030020</v>
      </c>
      <c r="J30">
        <f>IF(ISBLANK(A30), "", IFERROR(IF(ROUND(H30,2)=0.05, INDEX(discount!C:C, MATCH($C$4, discount!A:A, 0)), IF(ROUND(H30,2)=0.18, INDEX(discount!E:E, MATCH($C$4, discount!A:A, 0)), IF(ROUND(H30,2)=0.12, INDEX(discount!D:D, MATCH($C$4, discount!A:A, 0)), IF(ROUND(H30,2)=0.28, INDEX(discount!F:F, MATCH($C$4, discount!A:A, 0)), INDEX(discount!C:C, MATCH($C$4, discount!A:A, 0)))))), 0))</f>
        <v>0.42859999999999998</v>
      </c>
      <c r="K30">
        <f t="shared" si="0"/>
        <v>556.32000000000005</v>
      </c>
      <c r="L30">
        <f t="shared" si="1"/>
        <v>741.68</v>
      </c>
      <c r="M30" t="str">
        <f t="shared" si="2"/>
        <v>✅ OK</v>
      </c>
    </row>
    <row r="31" spans="1:13" x14ac:dyDescent="0.3">
      <c r="A31" t="s">
        <v>143</v>
      </c>
      <c r="B31" t="s">
        <v>280</v>
      </c>
      <c r="C31">
        <v>2</v>
      </c>
      <c r="D31">
        <v>0</v>
      </c>
      <c r="E31">
        <v>579</v>
      </c>
      <c r="F31" t="str">
        <f>IF(ISBLANK(A31), "", IFERROR(INDEX('Price list'!B:B, MATCH(LEFT(UPPER(SUBSTITUTE(A31, " ", "")), 8) &amp; "*", 'Price list'!F:F, 0)), ""))</f>
        <v>SMRT1282</v>
      </c>
      <c r="G31">
        <f>IF(ISBLANK(A31), "", IFERROR(INDEX('Price list'!C:C, MATCH(LEFT(UPPER(SUBSTITUTE(A31, " ", "")), 8) &amp; "*", 'Price list'!F:F, 0)), 0))</f>
        <v>579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>
        <f>IF(ISBLANK(A31), "", IFERROR(IF(ROUND(H31,2)=0.05, INDEX(discount!C:C, MATCH($C$4, discount!A:A, 0)), IF(ROUND(H31,2)=0.18, INDEX(discount!E:E, MATCH($C$4, discount!A:A, 0)), IF(ROUND(H31,2)=0.12, INDEX(discount!D:D, MATCH($C$4, discount!A:A, 0)), IF(ROUND(H31,2)=0.28, INDEX(discount!F:F, MATCH($C$4, discount!A:A, 0)), INDEX(discount!C:C, MATCH($C$4, discount!A:A, 0)))))), 0))</f>
        <v>0.42859999999999998</v>
      </c>
      <c r="K31">
        <f t="shared" si="0"/>
        <v>496.32</v>
      </c>
      <c r="L31">
        <f t="shared" si="1"/>
        <v>661.68000000000006</v>
      </c>
      <c r="M31" t="str">
        <f t="shared" si="2"/>
        <v>✅ OK</v>
      </c>
    </row>
    <row r="32" spans="1:13" x14ac:dyDescent="0.3">
      <c r="A32" t="s">
        <v>172</v>
      </c>
      <c r="B32" t="s">
        <v>281</v>
      </c>
      <c r="C32">
        <v>2</v>
      </c>
      <c r="D32">
        <v>0</v>
      </c>
      <c r="E32">
        <v>699</v>
      </c>
      <c r="F32" t="str">
        <f>IF(ISBLANK(A32), "", IFERROR(INDEX('Price list'!B:B, MATCH(LEFT(UPPER(SUBSTITUTE(A32, " ", "")), 8) &amp; "*", 'Price list'!F:F, 0)), ""))</f>
        <v>SMRT1333</v>
      </c>
      <c r="G32">
        <f>IF(ISBLANK(A32), "", IFERROR(INDEX('Price list'!C:C, MATCH(LEFT(UPPER(SUBSTITUTE(A32, " ", "")), 8) &amp; "*", 'Price list'!F:F, 0)), 0))</f>
        <v>699</v>
      </c>
      <c r="H32">
        <f>IF(ISBLANK(A32), "", IFERROR(INDEX('Price list'!E:E, MATCH(LEFT(UPPER(SUBSTITUTE(A32, " ", "")), 8) &amp; "*", 'Price list'!F:F, 0)), 0))</f>
        <v>0.05</v>
      </c>
      <c r="I32">
        <f>IF(ISBLANK(A32), "", IFERROR(INDEX('Price list'!D:D, MATCH(LEFT(UPPER(SUBSTITUTE(A32, " ", "")), 8) &amp; "*", 'Price list'!F:F, 0)), ""))</f>
        <v>95030020</v>
      </c>
      <c r="J32">
        <f>IF(ISBLANK(A32), "", IFERROR(IF(ROUND(H32,2)=0.05, INDEX(discount!C:C, MATCH($C$4, discount!A:A, 0)), IF(ROUND(H32,2)=0.18, INDEX(discount!E:E, MATCH($C$4, discount!A:A, 0)), IF(ROUND(H32,2)=0.12, INDEX(discount!D:D, MATCH($C$4, discount!A:A, 0)), IF(ROUND(H32,2)=0.28, INDEX(discount!F:F, MATCH($C$4, discount!A:A, 0)), INDEX(discount!C:C, MATCH($C$4, discount!A:A, 0)))))), 0))</f>
        <v>0.42859999999999998</v>
      </c>
      <c r="K32">
        <f t="shared" si="0"/>
        <v>599.17999999999995</v>
      </c>
      <c r="L32">
        <f t="shared" si="1"/>
        <v>798.82</v>
      </c>
      <c r="M32" t="str">
        <f t="shared" si="2"/>
        <v>✅ OK</v>
      </c>
    </row>
    <row r="33" spans="1:13" x14ac:dyDescent="0.3">
      <c r="A33" t="s">
        <v>163</v>
      </c>
      <c r="B33" t="s">
        <v>282</v>
      </c>
      <c r="C33">
        <v>2</v>
      </c>
      <c r="D33">
        <v>0</v>
      </c>
      <c r="E33">
        <v>599</v>
      </c>
      <c r="F33" t="str">
        <f>IF(ISBLANK(A33), "", IFERROR(INDEX('Price list'!B:B, MATCH(LEFT(UPPER(SUBSTITUTE(A33, " ", "")), 8) &amp; "*", 'Price list'!F:F, 0)), ""))</f>
        <v>SMRT1320</v>
      </c>
      <c r="G33">
        <f>IF(ISBLANK(A33), "", IFERROR(INDEX('Price list'!C:C, MATCH(LEFT(UPPER(SUBSTITUTE(A33, " ", "")), 8) &amp; "*", 'Price list'!F:F, 0)), 0))</f>
        <v>599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>
        <f>IF(ISBLANK(A33), "", IFERROR(IF(ROUND(H33,2)=0.05, INDEX(discount!C:C, MATCH($C$4, discount!A:A, 0)), IF(ROUND(H33,2)=0.18, INDEX(discount!E:E, MATCH($C$4, discount!A:A, 0)), IF(ROUND(H33,2)=0.12, INDEX(discount!D:D, MATCH($C$4, discount!A:A, 0)), IF(ROUND(H33,2)=0.28, INDEX(discount!F:F, MATCH($C$4, discount!A:A, 0)), INDEX(discount!C:C, MATCH($C$4, discount!A:A, 0)))))), 0))</f>
        <v>0.42859999999999998</v>
      </c>
      <c r="K33">
        <f t="shared" si="0"/>
        <v>513.46</v>
      </c>
      <c r="L33">
        <f t="shared" si="1"/>
        <v>684.54</v>
      </c>
      <c r="M33" t="str">
        <f t="shared" si="2"/>
        <v>✅ OK</v>
      </c>
    </row>
    <row r="34" spans="1:13" x14ac:dyDescent="0.3">
      <c r="A34" t="s">
        <v>175</v>
      </c>
      <c r="B34" t="s">
        <v>283</v>
      </c>
      <c r="C34">
        <v>2</v>
      </c>
      <c r="D34">
        <v>0</v>
      </c>
      <c r="E34">
        <v>699</v>
      </c>
      <c r="F34" t="str">
        <f>IF(ISBLANK(A34), "", IFERROR(INDEX('Price list'!B:B, MATCH(LEFT(UPPER(SUBSTITUTE(A34, " ", "")), 8) &amp; "*", 'Price list'!F:F, 0)), ""))</f>
        <v>SMRT1336</v>
      </c>
      <c r="G34">
        <f>IF(ISBLANK(A34), "", IFERROR(INDEX('Price list'!C:C, MATCH(LEFT(UPPER(SUBSTITUTE(A34, " ", "")), 8) &amp; "*", 'Price list'!F:F, 0)), 0))</f>
        <v>699</v>
      </c>
      <c r="H34">
        <f>IF(ISBLANK(A34), "", IFERROR(INDEX('Price list'!E:E, MATCH(LEFT(UPPER(SUBSTITUTE(A34, " ", "")), 8) &amp; "*", 'Price list'!F:F, 0)), 0))</f>
        <v>0.05</v>
      </c>
      <c r="I34">
        <f>IF(ISBLANK(A34), "", IFERROR(INDEX('Price list'!D:D, MATCH(LEFT(UPPER(SUBSTITUTE(A34, " ", "")), 8) &amp; "*", 'Price list'!F:F, 0)), ""))</f>
        <v>95030020</v>
      </c>
      <c r="J34">
        <f>IF(ISBLANK(A34), "", IFERROR(IF(ROUND(H34,2)=0.05, INDEX(discount!C:C, MATCH($C$4, discount!A:A, 0)), IF(ROUND(H34,2)=0.18, INDEX(discount!E:E, MATCH($C$4, discount!A:A, 0)), IF(ROUND(H34,2)=0.12, INDEX(discount!D:D, MATCH($C$4, discount!A:A, 0)), IF(ROUND(H34,2)=0.28, INDEX(discount!F:F, MATCH($C$4, discount!A:A, 0)), INDEX(discount!C:C, MATCH($C$4, discount!A:A, 0)))))), 0))</f>
        <v>0.42859999999999998</v>
      </c>
      <c r="K34">
        <f t="shared" si="0"/>
        <v>599.17999999999995</v>
      </c>
      <c r="L34">
        <f t="shared" si="1"/>
        <v>798.82</v>
      </c>
      <c r="M34" t="str">
        <f t="shared" si="2"/>
        <v>✅ OK</v>
      </c>
    </row>
    <row r="35" spans="1:13" ht="15" thickBot="1" x14ac:dyDescent="0.35">
      <c r="A35" t="s">
        <v>95</v>
      </c>
      <c r="B35" t="s">
        <v>284</v>
      </c>
      <c r="C35">
        <v>2</v>
      </c>
      <c r="D35">
        <v>0</v>
      </c>
      <c r="E35">
        <v>869</v>
      </c>
      <c r="F35" t="str">
        <f>IF(ISBLANK(A35), "", IFERROR(INDEX('Price list'!B:B, MATCH(LEFT(UPPER(SUBSTITUTE(A35, " ", "")), 8) &amp; "*", 'Price list'!F:F, 0)), ""))</f>
        <v>SMRT1189</v>
      </c>
      <c r="G35">
        <f>IF(ISBLANK(A35), "", IFERROR(INDEX('Price list'!C:C, MATCH(LEFT(UPPER(SUBSTITUTE(A35, " ", "")), 8) &amp; "*", 'Price list'!F:F, 0)), 0))</f>
        <v>869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>
        <f>IF(ISBLANK(A35), "", IFERROR(IF(ROUND(H35,2)=0.05, INDEX(discount!C:C, MATCH($C$4, discount!A:A, 0)), IF(ROUND(H35,2)=0.18, INDEX(discount!E:E, MATCH($C$4, discount!A:A, 0)), IF(ROUND(H35,2)=0.12, INDEX(discount!D:D, MATCH($C$4, discount!A:A, 0)), IF(ROUND(H35,2)=0.28, INDEX(discount!F:F, MATCH($C$4, discount!A:A, 0)), INDEX(discount!C:C, MATCH($C$4, discount!A:A, 0)))))), 0))</f>
        <v>0.42859999999999998</v>
      </c>
      <c r="K35">
        <f t="shared" si="0"/>
        <v>744.91</v>
      </c>
      <c r="L35">
        <f t="shared" si="1"/>
        <v>993.09</v>
      </c>
      <c r="M35" t="str">
        <f t="shared" si="2"/>
        <v>✅ OK</v>
      </c>
    </row>
    <row r="36" spans="1:13" ht="17.399999999999999" thickBot="1" x14ac:dyDescent="0.45">
      <c r="A36" s="13" t="s">
        <v>269</v>
      </c>
      <c r="B36" s="13"/>
      <c r="C36" s="9">
        <f>SUM(C11:C35)</f>
        <v>50</v>
      </c>
      <c r="D36" s="9">
        <f>SUM(D11:D35)</f>
        <v>0</v>
      </c>
      <c r="E36" s="9"/>
      <c r="F36" s="9"/>
      <c r="G36" s="9"/>
      <c r="H36" s="9"/>
      <c r="I36" s="9"/>
      <c r="J36" s="9"/>
      <c r="K36" s="9">
        <f>SUM(K11:K35)</f>
        <v>22301.74</v>
      </c>
      <c r="L36" s="9">
        <f>SUM(L11:L35)</f>
        <v>28688.260000000002</v>
      </c>
    </row>
  </sheetData>
  <mergeCells count="4">
    <mergeCell ref="C5:F5"/>
    <mergeCell ref="C4:F4"/>
    <mergeCell ref="A1:M1"/>
    <mergeCell ref="A36:B36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4.4" x14ac:dyDescent="0.3"/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G197" sqref="G19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 s="7">
        <v>8906187980659</v>
      </c>
    </row>
    <row r="177" spans="1:7" x14ac:dyDescent="0.3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 s="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5"/>
  <sheetViews>
    <sheetView workbookViewId="0">
      <selection activeCell="G1" sqref="G1"/>
    </sheetView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8">
        <v>0.52380000000000004</v>
      </c>
      <c r="D2" s="8">
        <v>0</v>
      </c>
      <c r="E2" s="8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8">
        <v>0.47619</v>
      </c>
      <c r="D3" s="8">
        <v>0</v>
      </c>
      <c r="E3" s="8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8">
        <v>0.47619</v>
      </c>
      <c r="D4" s="8">
        <v>0</v>
      </c>
      <c r="E4" s="8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8">
        <v>0.47619</v>
      </c>
      <c r="D5" s="8">
        <v>0</v>
      </c>
      <c r="E5" s="8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8">
        <v>0.47619</v>
      </c>
      <c r="D6" s="8">
        <v>0</v>
      </c>
      <c r="E6" s="8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8">
        <v>0.47619</v>
      </c>
      <c r="D7" s="8">
        <v>0</v>
      </c>
      <c r="E7" s="8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8">
        <v>0.47619</v>
      </c>
      <c r="D8" s="8">
        <v>0</v>
      </c>
      <c r="E8" s="8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8">
        <v>0.47620000000000001</v>
      </c>
      <c r="D9" s="8">
        <v>0</v>
      </c>
      <c r="E9" s="8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8">
        <v>0.52380000000000004</v>
      </c>
      <c r="D10" s="8">
        <v>0</v>
      </c>
      <c r="E10" s="8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8">
        <v>0.47620000000000001</v>
      </c>
      <c r="D11" s="8">
        <v>0</v>
      </c>
      <c r="E11" s="8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8">
        <v>0.50470000000000004</v>
      </c>
      <c r="D12" s="8">
        <v>0</v>
      </c>
      <c r="E12" s="8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8">
        <v>0.47620000000000001</v>
      </c>
      <c r="D13" s="8">
        <v>0</v>
      </c>
      <c r="E13" s="8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8">
        <v>0.47620000000000001</v>
      </c>
      <c r="D14" s="8">
        <v>0</v>
      </c>
      <c r="E14" s="8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8">
        <v>0.52380000000000004</v>
      </c>
      <c r="D15" s="8">
        <v>0</v>
      </c>
      <c r="E15" s="8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8">
        <v>0.47620000000000001</v>
      </c>
      <c r="D16" s="8">
        <v>0</v>
      </c>
      <c r="E16" s="8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8">
        <v>0.47620000000000001</v>
      </c>
      <c r="D17" s="8">
        <v>0</v>
      </c>
      <c r="E17" s="8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8">
        <v>0.47620000000000001</v>
      </c>
      <c r="D18" s="8">
        <v>0</v>
      </c>
      <c r="E18" s="8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8">
        <v>0.52380000000000004</v>
      </c>
      <c r="D19" s="8">
        <v>0</v>
      </c>
      <c r="E19" s="8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8">
        <v>0.47620000000000001</v>
      </c>
      <c r="D20" s="8">
        <v>0</v>
      </c>
      <c r="E20" s="8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8">
        <v>0.47620000000000001</v>
      </c>
      <c r="D21" s="8">
        <v>0</v>
      </c>
      <c r="E21" s="8">
        <v>0.53390000000000004</v>
      </c>
      <c r="F21">
        <v>0</v>
      </c>
    </row>
    <row r="22" spans="1:6" x14ac:dyDescent="0.3">
      <c r="A22" t="s">
        <v>215</v>
      </c>
      <c r="B22" t="s">
        <v>215</v>
      </c>
      <c r="C22" s="8">
        <v>0.52380000000000004</v>
      </c>
      <c r="D22" s="8">
        <v>0</v>
      </c>
      <c r="E22" s="8">
        <v>0.57630000000000003</v>
      </c>
      <c r="F22">
        <v>0</v>
      </c>
    </row>
    <row r="23" spans="1:6" x14ac:dyDescent="0.3">
      <c r="A23" t="s">
        <v>216</v>
      </c>
      <c r="B23" t="s">
        <v>216</v>
      </c>
      <c r="C23" s="8">
        <v>0.47620000000000001</v>
      </c>
      <c r="D23" s="8">
        <v>0</v>
      </c>
      <c r="E23" s="8">
        <v>0.53390000000000004</v>
      </c>
      <c r="F23">
        <v>0</v>
      </c>
    </row>
    <row r="24" spans="1:6" x14ac:dyDescent="0.3">
      <c r="A24" t="s">
        <v>217</v>
      </c>
      <c r="B24" t="s">
        <v>217</v>
      </c>
      <c r="C24" s="8">
        <v>0.52380000000000004</v>
      </c>
      <c r="D24" s="8">
        <v>0</v>
      </c>
      <c r="E24" s="8">
        <v>0.57630000000000003</v>
      </c>
      <c r="F24">
        <v>0</v>
      </c>
    </row>
    <row r="25" spans="1:6" x14ac:dyDescent="0.3">
      <c r="A25" t="s">
        <v>218</v>
      </c>
      <c r="B25" t="s">
        <v>218</v>
      </c>
      <c r="C25" s="8">
        <v>0.47620000000000001</v>
      </c>
      <c r="D25" s="8">
        <v>0</v>
      </c>
      <c r="E25" s="8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8">
        <v>0.47620000000000001</v>
      </c>
      <c r="D26" s="8">
        <v>0</v>
      </c>
      <c r="E26" s="8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8">
        <v>0.47620000000000001</v>
      </c>
      <c r="D27" s="8">
        <v>0</v>
      </c>
      <c r="E27" s="8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8">
        <v>0.47620000000000001</v>
      </c>
      <c r="D28" s="8">
        <v>0</v>
      </c>
      <c r="E28" s="8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8">
        <v>0.47620000000000001</v>
      </c>
      <c r="D29" s="8">
        <v>0</v>
      </c>
      <c r="E29" s="8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8">
        <v>0.47620000000000001</v>
      </c>
      <c r="D30" s="8">
        <v>0</v>
      </c>
      <c r="E30" s="8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8">
        <v>0.47620000000000001</v>
      </c>
      <c r="D31" s="8">
        <v>0</v>
      </c>
      <c r="E31" s="8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8">
        <v>0.47620000000000001</v>
      </c>
      <c r="D32" s="8">
        <v>0</v>
      </c>
      <c r="E32" s="8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8">
        <v>0.47620000000000001</v>
      </c>
      <c r="D33" s="8">
        <v>0</v>
      </c>
      <c r="E33" s="8">
        <v>0.53390000000000004</v>
      </c>
      <c r="F33">
        <v>0</v>
      </c>
    </row>
    <row r="34" spans="1:6" x14ac:dyDescent="0.3">
      <c r="A34" t="s">
        <v>227</v>
      </c>
      <c r="B34" t="s">
        <v>227</v>
      </c>
      <c r="C34" s="8">
        <v>0.49719999999999998</v>
      </c>
      <c r="D34" s="8">
        <v>0</v>
      </c>
      <c r="E34" s="8">
        <v>0.57440000000000002</v>
      </c>
      <c r="F34">
        <v>0</v>
      </c>
    </row>
    <row r="35" spans="1:6" x14ac:dyDescent="0.3">
      <c r="A35" t="s">
        <v>228</v>
      </c>
      <c r="B35" t="s">
        <v>228</v>
      </c>
      <c r="C35" s="8">
        <v>0.47620000000000001</v>
      </c>
      <c r="D35" s="8">
        <v>0</v>
      </c>
      <c r="E35" s="8">
        <v>0.53390000000000004</v>
      </c>
      <c r="F35">
        <v>0</v>
      </c>
    </row>
    <row r="36" spans="1:6" x14ac:dyDescent="0.3">
      <c r="A36" t="s">
        <v>229</v>
      </c>
      <c r="B36" t="s">
        <v>229</v>
      </c>
      <c r="C36" s="8">
        <v>0.52380000000000004</v>
      </c>
      <c r="D36" s="8">
        <v>0</v>
      </c>
      <c r="E36" s="8">
        <v>0.57630000000000003</v>
      </c>
      <c r="F36">
        <v>0</v>
      </c>
    </row>
    <row r="37" spans="1:6" x14ac:dyDescent="0.3">
      <c r="A37" t="s">
        <v>230</v>
      </c>
      <c r="B37" t="s">
        <v>230</v>
      </c>
      <c r="C37" s="8">
        <v>0.47620000000000001</v>
      </c>
      <c r="D37" s="8">
        <v>0</v>
      </c>
      <c r="E37" s="8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8">
        <v>0.47620000000000001</v>
      </c>
      <c r="D38" s="8">
        <v>0</v>
      </c>
      <c r="E38" s="8">
        <v>0.53390000000000004</v>
      </c>
      <c r="F38">
        <v>0</v>
      </c>
    </row>
    <row r="39" spans="1:6" x14ac:dyDescent="0.3">
      <c r="A39" t="s">
        <v>232</v>
      </c>
      <c r="B39" t="s">
        <v>232</v>
      </c>
      <c r="C39" s="8">
        <v>0.52380000000000004</v>
      </c>
      <c r="D39" s="8">
        <v>0</v>
      </c>
      <c r="E39" s="8">
        <v>0.57630000000000003</v>
      </c>
      <c r="F39">
        <v>0</v>
      </c>
    </row>
    <row r="40" spans="1:6" x14ac:dyDescent="0.3">
      <c r="A40" t="s">
        <v>233</v>
      </c>
      <c r="B40" t="s">
        <v>233</v>
      </c>
      <c r="C40" s="8">
        <v>0.4738</v>
      </c>
      <c r="D40" s="8">
        <v>0</v>
      </c>
      <c r="E40" s="8">
        <v>0.53180000000000005</v>
      </c>
      <c r="F40">
        <v>0</v>
      </c>
    </row>
    <row r="41" spans="1:6" x14ac:dyDescent="0.3">
      <c r="A41" t="s">
        <v>234</v>
      </c>
      <c r="B41" t="s">
        <v>234</v>
      </c>
      <c r="C41" s="8">
        <v>0.43080000000000002</v>
      </c>
      <c r="D41" s="8">
        <v>0</v>
      </c>
      <c r="E41" s="8">
        <v>0.50719999999999998</v>
      </c>
      <c r="F41">
        <v>0</v>
      </c>
    </row>
    <row r="42" spans="1:6" x14ac:dyDescent="0.3">
      <c r="A42" t="s">
        <v>235</v>
      </c>
      <c r="B42" t="s">
        <v>235</v>
      </c>
      <c r="C42" s="8">
        <v>0.47620000000000001</v>
      </c>
      <c r="D42" s="8">
        <v>0</v>
      </c>
      <c r="E42" s="8">
        <v>0.53390000000000004</v>
      </c>
      <c r="F42">
        <v>0</v>
      </c>
    </row>
    <row r="43" spans="1:6" x14ac:dyDescent="0.3">
      <c r="A43" t="s">
        <v>236</v>
      </c>
      <c r="B43" t="s">
        <v>236</v>
      </c>
      <c r="C43" s="8">
        <v>0.47620000000000001</v>
      </c>
      <c r="D43" s="8">
        <v>0</v>
      </c>
      <c r="E43" s="8">
        <v>0.53390000000000004</v>
      </c>
      <c r="F43">
        <v>0</v>
      </c>
    </row>
    <row r="44" spans="1:6" x14ac:dyDescent="0.3">
      <c r="A44" t="s">
        <v>256</v>
      </c>
      <c r="B44" t="s">
        <v>256</v>
      </c>
      <c r="C44" s="8">
        <v>0.47620000000000001</v>
      </c>
      <c r="D44" s="8">
        <v>0</v>
      </c>
      <c r="E44" s="8">
        <v>0.53390000000000004</v>
      </c>
      <c r="F44" s="8">
        <v>0</v>
      </c>
    </row>
    <row r="45" spans="1:6" x14ac:dyDescent="0.3">
      <c r="A45" t="s">
        <v>270</v>
      </c>
      <c r="C45">
        <v>0.42859999999999998</v>
      </c>
      <c r="D45">
        <v>0</v>
      </c>
      <c r="E45">
        <v>0.49149999999999999</v>
      </c>
      <c r="F45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2026-08-17T07:54:12Z</dcterms:created>
  <dcterms:modified xsi:type="dcterms:W3CDTF">2026-08-19T11:32:18Z</dcterms:modified>
</cp:coreProperties>
</file>