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mart\OneDrive\Desktop\Exe\excel-main\excel-main\"/>
    </mc:Choice>
  </mc:AlternateContent>
  <xr:revisionPtr revIDLastSave="0" documentId="13_ncr:1_{4451B8D9-4DFE-43CC-9538-C3207498B21B}" xr6:coauthVersionLast="47" xr6:coauthVersionMax="47" xr10:uidLastSave="{00000000-0000-0000-0000-000000000000}"/>
  <bookViews>
    <workbookView xWindow="-110" yWindow="-110" windowWidth="19420" windowHeight="11500" firstSheet="1" activeTab="6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H5" i="1"/>
  <c r="F5" i="1"/>
  <c r="D5" i="1"/>
  <c r="F5" i="3" l="1"/>
  <c r="D5" i="3"/>
  <c r="D44" i="3"/>
  <c r="C44" i="3"/>
  <c r="I43" i="3"/>
  <c r="H43" i="3"/>
  <c r="G43" i="3"/>
  <c r="J43" i="3" s="1"/>
  <c r="K43" i="3" s="1"/>
  <c r="L43" i="3" s="1"/>
  <c r="F43" i="3"/>
  <c r="I42" i="3"/>
  <c r="H42" i="3"/>
  <c r="G42" i="3"/>
  <c r="F42" i="3"/>
  <c r="I41" i="3"/>
  <c r="H41" i="3"/>
  <c r="G41" i="3"/>
  <c r="J41" i="3" s="1"/>
  <c r="K41" i="3" s="1"/>
  <c r="L41" i="3" s="1"/>
  <c r="F41" i="3"/>
  <c r="I40" i="3"/>
  <c r="H40" i="3"/>
  <c r="G40" i="3"/>
  <c r="F40" i="3"/>
  <c r="I39" i="3"/>
  <c r="H39" i="3"/>
  <c r="G39" i="3"/>
  <c r="F39" i="3"/>
  <c r="I38" i="3"/>
  <c r="H38" i="3"/>
  <c r="G38" i="3"/>
  <c r="F38" i="3"/>
  <c r="I37" i="3"/>
  <c r="H37" i="3"/>
  <c r="G37" i="3"/>
  <c r="F37" i="3"/>
  <c r="I36" i="3"/>
  <c r="H36" i="3"/>
  <c r="G36" i="3"/>
  <c r="J36" i="3" s="1"/>
  <c r="K36" i="3" s="1"/>
  <c r="L36" i="3" s="1"/>
  <c r="F36" i="3"/>
  <c r="I35" i="3"/>
  <c r="H35" i="3"/>
  <c r="G35" i="3"/>
  <c r="F35" i="3"/>
  <c r="I34" i="3"/>
  <c r="H34" i="3"/>
  <c r="G34" i="3"/>
  <c r="J34" i="3" s="1"/>
  <c r="K34" i="3" s="1"/>
  <c r="L34" i="3" s="1"/>
  <c r="F34" i="3"/>
  <c r="I33" i="3"/>
  <c r="H33" i="3"/>
  <c r="G33" i="3"/>
  <c r="F33" i="3"/>
  <c r="I32" i="3"/>
  <c r="H32" i="3"/>
  <c r="G32" i="3"/>
  <c r="J32" i="3" s="1"/>
  <c r="K32" i="3" s="1"/>
  <c r="L32" i="3" s="1"/>
  <c r="F32" i="3"/>
  <c r="I31" i="3"/>
  <c r="H31" i="3"/>
  <c r="G31" i="3"/>
  <c r="F31" i="3"/>
  <c r="I30" i="3"/>
  <c r="H30" i="3"/>
  <c r="G30" i="3"/>
  <c r="F30" i="3"/>
  <c r="I29" i="3"/>
  <c r="H29" i="3"/>
  <c r="G29" i="3"/>
  <c r="J29" i="3" s="1"/>
  <c r="K29" i="3" s="1"/>
  <c r="L29" i="3" s="1"/>
  <c r="F29" i="3"/>
  <c r="I28" i="3"/>
  <c r="H28" i="3"/>
  <c r="G28" i="3"/>
  <c r="F28" i="3"/>
  <c r="I27" i="3"/>
  <c r="H27" i="3"/>
  <c r="G27" i="3"/>
  <c r="J27" i="3" s="1"/>
  <c r="K27" i="3" s="1"/>
  <c r="L27" i="3" s="1"/>
  <c r="F27" i="3"/>
  <c r="I26" i="3"/>
  <c r="H26" i="3"/>
  <c r="G26" i="3"/>
  <c r="F26" i="3"/>
  <c r="I25" i="3"/>
  <c r="H25" i="3"/>
  <c r="G25" i="3"/>
  <c r="F25" i="3"/>
  <c r="I24" i="3"/>
  <c r="H24" i="3"/>
  <c r="G24" i="3"/>
  <c r="F24" i="3"/>
  <c r="I23" i="3"/>
  <c r="H23" i="3"/>
  <c r="G23" i="3"/>
  <c r="J23" i="3" s="1"/>
  <c r="K23" i="3" s="1"/>
  <c r="F23" i="3"/>
  <c r="I22" i="3"/>
  <c r="H22" i="3"/>
  <c r="G22" i="3"/>
  <c r="F22" i="3"/>
  <c r="I21" i="3"/>
  <c r="H21" i="3"/>
  <c r="G21" i="3"/>
  <c r="F21" i="3"/>
  <c r="I20" i="3"/>
  <c r="H20" i="3"/>
  <c r="G20" i="3"/>
  <c r="J20" i="3" s="1"/>
  <c r="K20" i="3" s="1"/>
  <c r="L20" i="3" s="1"/>
  <c r="F20" i="3"/>
  <c r="I19" i="3"/>
  <c r="H19" i="3"/>
  <c r="G19" i="3"/>
  <c r="F19" i="3"/>
  <c r="I18" i="3"/>
  <c r="H18" i="3"/>
  <c r="G18" i="3"/>
  <c r="F18" i="3"/>
  <c r="I17" i="3"/>
  <c r="H17" i="3"/>
  <c r="G17" i="3"/>
  <c r="F17" i="3"/>
  <c r="I16" i="3"/>
  <c r="H16" i="3"/>
  <c r="G16" i="3"/>
  <c r="J16" i="3" s="1"/>
  <c r="K16" i="3" s="1"/>
  <c r="L16" i="3" s="1"/>
  <c r="F16" i="3"/>
  <c r="I15" i="3"/>
  <c r="H15" i="3"/>
  <c r="G15" i="3"/>
  <c r="J15" i="3" s="1"/>
  <c r="F15" i="3"/>
  <c r="I14" i="3"/>
  <c r="H14" i="3"/>
  <c r="G14" i="3"/>
  <c r="J14" i="3" s="1"/>
  <c r="K14" i="3" s="1"/>
  <c r="L14" i="3" s="1"/>
  <c r="F14" i="3"/>
  <c r="I13" i="3"/>
  <c r="H13" i="3"/>
  <c r="G13" i="3"/>
  <c r="J13" i="3" s="1"/>
  <c r="K13" i="3" s="1"/>
  <c r="L13" i="3" s="1"/>
  <c r="F13" i="3"/>
  <c r="I12" i="3"/>
  <c r="H12" i="3"/>
  <c r="G12" i="3"/>
  <c r="F12" i="3"/>
  <c r="I11" i="3"/>
  <c r="H11" i="3"/>
  <c r="G11" i="3"/>
  <c r="J11" i="3" s="1"/>
  <c r="K11" i="3" s="1"/>
  <c r="F11" i="3"/>
  <c r="K5" i="2"/>
  <c r="H5" i="2"/>
  <c r="F5" i="2"/>
  <c r="D5" i="2"/>
  <c r="M26" i="3" l="1"/>
  <c r="M32" i="3"/>
  <c r="M43" i="3"/>
  <c r="M12" i="3"/>
  <c r="M19" i="3"/>
  <c r="M39" i="3"/>
  <c r="M29" i="3"/>
  <c r="M33" i="3"/>
  <c r="M20" i="3"/>
  <c r="M27" i="3"/>
  <c r="M21" i="3"/>
  <c r="M28" i="3"/>
  <c r="M42" i="3"/>
  <c r="M23" i="3"/>
  <c r="M13" i="3"/>
  <c r="M30" i="3"/>
  <c r="M35" i="3"/>
  <c r="J39" i="3"/>
  <c r="K39" i="3" s="1"/>
  <c r="L39" i="3" s="1"/>
  <c r="M18" i="3"/>
  <c r="M24" i="3"/>
  <c r="M34" i="3"/>
  <c r="M37" i="3"/>
  <c r="M40" i="3"/>
  <c r="M31" i="3"/>
  <c r="M38" i="3"/>
  <c r="J18" i="3"/>
  <c r="K18" i="3" s="1"/>
  <c r="L18" i="3" s="1"/>
  <c r="M16" i="3"/>
  <c r="J25" i="3"/>
  <c r="K25" i="3" s="1"/>
  <c r="L25" i="3" s="1"/>
  <c r="M17" i="3"/>
  <c r="L23" i="3"/>
  <c r="M36" i="3"/>
  <c r="M11" i="3"/>
  <c r="L11" i="3"/>
  <c r="J31" i="3"/>
  <c r="K31" i="3" s="1"/>
  <c r="L31" i="3" s="1"/>
  <c r="J38" i="3"/>
  <c r="K38" i="3" s="1"/>
  <c r="L38" i="3" s="1"/>
  <c r="K15" i="3"/>
  <c r="L15" i="3" s="1"/>
  <c r="M22" i="3"/>
  <c r="J26" i="3"/>
  <c r="K26" i="3" s="1"/>
  <c r="L26" i="3" s="1"/>
  <c r="J33" i="3"/>
  <c r="K33" i="3" s="1"/>
  <c r="L33" i="3" s="1"/>
  <c r="J19" i="3"/>
  <c r="K19" i="3" s="1"/>
  <c r="L19" i="3" s="1"/>
  <c r="J28" i="3"/>
  <c r="K28" i="3" s="1"/>
  <c r="L28" i="3" s="1"/>
  <c r="J22" i="3"/>
  <c r="K22" i="3" s="1"/>
  <c r="L22" i="3" s="1"/>
  <c r="J40" i="3"/>
  <c r="K40" i="3" s="1"/>
  <c r="L40" i="3" s="1"/>
  <c r="J21" i="3"/>
  <c r="K21" i="3" s="1"/>
  <c r="L21" i="3" s="1"/>
  <c r="J17" i="3"/>
  <c r="K17" i="3" s="1"/>
  <c r="L17" i="3" s="1"/>
  <c r="J24" i="3"/>
  <c r="K24" i="3" s="1"/>
  <c r="L24" i="3" s="1"/>
  <c r="M15" i="3"/>
  <c r="J42" i="3"/>
  <c r="K42" i="3" s="1"/>
  <c r="L42" i="3" s="1"/>
  <c r="J12" i="3"/>
  <c r="K12" i="3" s="1"/>
  <c r="J35" i="3"/>
  <c r="K35" i="3" s="1"/>
  <c r="L35" i="3" s="1"/>
  <c r="J30" i="3"/>
  <c r="K30" i="3" s="1"/>
  <c r="L30" i="3" s="1"/>
  <c r="J37" i="3"/>
  <c r="K37" i="3" s="1"/>
  <c r="L37" i="3" s="1"/>
  <c r="K44" i="3" l="1"/>
  <c r="K5" i="3" s="1"/>
  <c r="L12" i="3"/>
  <c r="L44" i="3" s="1"/>
  <c r="H5" i="3" s="1"/>
</calcChain>
</file>

<file path=xl/sharedStrings.xml><?xml version="1.0" encoding="utf-8"?>
<sst xmlns="http://schemas.openxmlformats.org/spreadsheetml/2006/main" count="632" uniqueCount="311">
  <si>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</si>
  <si>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</si>
  <si>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</si>
  <si>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</si>
  <si>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</si>
  <si>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</si>
  <si>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</si>
  <si>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</si>
  <si>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</si>
  <si>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</si>
  <si>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</si>
  <si>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</si>
  <si>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</si>
  <si>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</si>
  <si>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</si>
  <si>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</si>
  <si>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</si>
  <si>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</si>
  <si>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</si>
  <si>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</si>
  <si>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</si>
  <si>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</si>
  <si>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</si>
  <si>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</si>
  <si>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</si>
  <si>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</si>
  <si>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</si>
  <si>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</si>
  <si>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</si>
  <si>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</si>
  <si>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</si>
  <si>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</si>
  <si>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</si>
  <si>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</si>
  <si>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</si>
  <si>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</si>
  <si>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</si>
  <si>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</si>
  <si>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</si>
  <si>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</si>
  <si>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</si>
  <si>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</si>
  <si>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</si>
  <si>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</si>
  <si>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</si>
  <si>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</si>
  <si>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</si>
  <si>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</si>
  <si>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</si>
  <si>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</si>
  <si>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</si>
  <si>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</si>
  <si>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</si>
  <si>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</si>
  <si>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</si>
  <si>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</si>
  <si>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</si>
  <si>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</si>
  <si>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</si>
  <si>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</si>
  <si>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</si>
  <si>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</si>
  <si>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</si>
  <si>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</si>
  <si>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</si>
  <si>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</si>
  <si>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</si>
  <si>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</si>
  <si>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</si>
  <si>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</si>
  <si>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</si>
  <si>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</si>
  <si>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</si>
  <si>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</si>
  <si>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</si>
  <si>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</si>
  <si>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</si>
  <si>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</si>
  <si>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</si>
  <si>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</si>
  <si>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</si>
  <si>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</si>
  <si>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</si>
  <si>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</si>
  <si>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</si>
  <si>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</si>
  <si>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</si>
  <si>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</si>
  <si>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</si>
  <si>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</si>
  <si>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</si>
  <si>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</si>
  <si>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</si>
  <si>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</si>
  <si>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</si>
  <si>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</si>
  <si>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</si>
  <si>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</si>
  <si>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</si>
  <si>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</si>
  <si>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</si>
  <si>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</si>
  <si>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</si>
  <si>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</si>
  <si>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</si>
  <si>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</si>
  <si>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</si>
  <si>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</si>
  <si>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</si>
  <si>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</si>
  <si>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</si>
  <si>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</si>
  <si>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</si>
  <si>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</si>
  <si>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</si>
  <si>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</si>
  <si>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</si>
  <si>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</si>
  <si>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</si>
  <si>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</si>
  <si>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</si>
  <si>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</si>
  <si>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</si>
  <si>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</si>
  <si>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</si>
  <si>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</si>
  <si>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</si>
  <si>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</si>
  <si>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</si>
  <si>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</si>
  <si>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</si>
  <si>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</si>
  <si>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</si>
  <si>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</si>
  <si>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</si>
  <si>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</si>
  <si>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</si>
  <si>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</si>
  <si>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</si>
  <si>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</si>
  <si>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</si>
  <si>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</si>
  <si>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</si>
  <si>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</si>
  <si>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</si>
  <si>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</si>
  <si>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</si>
  <si>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</si>
  <si>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</si>
  <si>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</si>
  <si>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</si>
  <si>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</si>
  <si>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</si>
  <si>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</si>
  <si>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</si>
  <si>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</si>
  <si>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</si>
  <si>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</si>
  <si>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</si>
  <si>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</si>
  <si>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</si>
  <si>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</si>
  <si>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</si>
  <si>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</si>
  <si>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</si>
  <si>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</si>
  <si>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</si>
  <si>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</si>
  <si>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</si>
  <si>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</si>
  <si>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</si>
  <si>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</si>
  <si>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</si>
  <si>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</si>
  <si>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</si>
  <si>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</si>
  <si>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</si>
  <si>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</si>
  <si>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</si>
  <si>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</si>
  <si>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</si>
  <si>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</si>
  <si>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</si>
  <si>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</si>
  <si>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</si>
  <si>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</si>
  <si>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</si>
  <si>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</si>
  <si>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</si>
  <si>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</si>
  <si>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</si>
  <si>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</si>
  <si>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</si>
  <si>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</si>
  <si>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</si>
  <si>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</si>
  <si>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</si>
  <si>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</si>
  <si>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</si>
  <si>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</si>
  <si>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</si>
  <si>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</si>
  <si>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</si>
  <si>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</si>
  <si>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</si>
  <si>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</si>
  <si>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</si>
  <si>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</si>
  <si>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</si>
  <si>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</si>
  <si>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</si>
  <si>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</si>
  <si>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</si>
  <si>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</si>
  <si>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RAMDEV STATIONERY SPORTS GIFTS &amp; TOYS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</si>
  <si>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</si>
  <si>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</si>
  <si>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</si>
  <si>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</si>
  <si>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</si>
  <si>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</si>
  <si>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</si>
  <si>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</si>
  <si>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</si>
  <si>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</si>
  <si>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</si>
  <si>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</si>
  <si>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</si>
  <si>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</si>
  <si>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</si>
  <si>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</si>
  <si>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</si>
  <si>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</si>
  <si>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</si>
  <si>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</si>
  <si>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</si>
  <si>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</si>
  <si>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Party Name:</t>
  </si>
  <si>
    <t>Order File: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</si>
  <si>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</si>
  <si>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</si>
  <si>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</si>
  <si>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</si>
  <si>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</si>
  <si>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</si>
  <si>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</si>
  <si>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</si>
  <si>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</si>
  <si>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</si>
  <si>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</si>
  <si>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AMIT ORDER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</si>
  <si>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</si>
  <si>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</si>
  <si>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</si>
  <si>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</si>
  <si>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</si>
  <si>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</si>
  <si>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KIDS JUNCTION</t>
  </si>
  <si>
    <t>SATNAM MARKETING</t>
  </si>
  <si>
    <t>CUSTOMER / PARTY</t>
  </si>
  <si>
    <t>TOTAL SKUs</t>
  </si>
  <si>
    <t>TOTAL QUANTITY</t>
  </si>
  <si>
    <t>TAXABLE VALUE</t>
  </si>
  <si>
    <t>TOTAL DISCOUNT</t>
  </si>
  <si>
    <t>VariantCodeNo</t>
  </si>
  <si>
    <t>Quantity</t>
  </si>
  <si>
    <t>DiscountPercent</t>
  </si>
  <si>
    <t>DiscountAmount</t>
  </si>
  <si>
    <t>CustomerItemCode</t>
  </si>
  <si>
    <t>CustomerItemName</t>
  </si>
  <si>
    <t>ItemRemark</t>
  </si>
  <si>
    <t>InputField</t>
  </si>
  <si>
    <t>Ramdev Extension</t>
  </si>
  <si>
    <t>T G ENTERPRISES</t>
  </si>
  <si>
    <t>RAMDEV IMPEX</t>
  </si>
  <si>
    <t>Digital Age Retail Pvt. Ltd.</t>
  </si>
  <si>
    <t>CENTER ONE ENTERPRISES</t>
  </si>
  <si>
    <t>Smartivity 3in1 Airplanes Launcher Toy for Kids (m</t>
  </si>
  <si>
    <t>Smartivity Tabletop Tennis Game Kit for Kids - Mul</t>
  </si>
  <si>
    <t>Smartivity DIY Solar System Kit Gear-Driven Workin</t>
  </si>
  <si>
    <t>Smartivity Squeegee Art Coaster Kit for Kids (minq</t>
  </si>
  <si>
    <t>✅ Auto-matched SKU (PO: '24361097')</t>
  </si>
  <si>
    <t>Smartivity Memory Game for Kids (minqty:1)</t>
  </si>
  <si>
    <t>Smartivity Magic of Science Experiment Kit for Boy</t>
  </si>
  <si>
    <t>Smartivity Foam Smartcraft Art &amp; Craft Kit - Poke</t>
  </si>
  <si>
    <t>Smartivity Little Sparks 7 in 1 Smart Busy Box Lea</t>
  </si>
  <si>
    <t>Smartivity Interactive Human Body Model - Dynamic</t>
  </si>
  <si>
    <t>Smartivity Tetricks - Magnetic Puzzle Game 30 Fun</t>
  </si>
  <si>
    <t>Smartivity Squeegee Art Painting Kit for Kids (min</t>
  </si>
  <si>
    <t>✅ Auto-matched SKU (PO: '24361098')</t>
  </si>
  <si>
    <t>Smartivity DIY Interactive</t>
  </si>
  <si>
    <t>Smartivity DIY Space Shooters STEM Educational &amp; C</t>
  </si>
  <si>
    <t>Smartivity Hydraulic Plane Launcher Stem Steam Edu</t>
  </si>
  <si>
    <t>Smartivity Labs Globe Educational DIY Construction</t>
  </si>
  <si>
    <t>Smartivity Montessori Based Play &amp; Learn Kit for 3</t>
  </si>
  <si>
    <t>Smartivity DIY Piggy/Money Bank for Kids - Multico</t>
  </si>
  <si>
    <t>Smartivity Pom Pom Princess and Unicorn Themed Mag</t>
  </si>
  <si>
    <t>Smartivity Robotic Arm Handheld Grabber with Flexi</t>
  </si>
  <si>
    <t>Smartivity Math Genius Educational Toy 40 Challeng</t>
  </si>
  <si>
    <t>Smartivity Ultimate Marble City for Kids 8-14 Year</t>
  </si>
  <si>
    <t>✅ Auto-matched SKU (PO: '24361102')</t>
  </si>
  <si>
    <t>Smartivity DIY Microscope Construction Kit - Multi</t>
  </si>
  <si>
    <t>GRAND TOTAL</t>
  </si>
  <si>
    <t>BLISS ENTERPRISES</t>
  </si>
  <si>
    <t>SHIVAM TRADERS</t>
  </si>
  <si>
    <t>THE TOYS HOME</t>
  </si>
  <si>
    <t>MOHINI COLLECTION EXT</t>
  </si>
  <si>
    <t>S V GIFTS &amp; TOYS</t>
  </si>
  <si>
    <t>SARDAR JI TOYS</t>
  </si>
  <si>
    <t>BNItemNo</t>
  </si>
  <si>
    <t>KASHMIR BOOK DEPOT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</si>
</sst>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0"/>
      <color theme="1"/>
      <name val="Segoe UI"/>
      <family val="2"/>
    </font>
    <font>
      <b/>
      <sz val="9.5"/>
      <color rgb="FFFFFFFF"/>
      <name val="Segoe UI"/>
      <family val="2"/>
    </font>
    <font>
      <b/>
      <sz val="12"/>
      <color rgb="FFFFFFFF"/>
      <name val="Segoe UI"/>
      <family val="2"/>
    </font>
    <font>
      <b/>
      <sz val="11"/>
      <color theme="1"/>
      <name val="Calibri"/>
      <family val="2"/>
      <scheme val="minor"/>
    </font>
    <font>
      <b/>
      <sz val="13"/>
      <color rgb="FFFFFFFF"/>
      <name val="Segoe UI"/>
      <family val="2"/>
    </font>
    <font>
      <b/>
      <sz val="8"/>
      <color rgb="FF80808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47857"/>
      <name val="Calibri"/>
      <family val="2"/>
      <scheme val="minor"/>
    </font>
    <font>
      <b/>
      <sz val="12"/>
      <color rgb="FF34550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2563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0F202A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FFFBE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D4FE"/>
      </left>
      <right style="thin">
        <color rgb="FF7FD4FE"/>
      </right>
      <top style="thin">
        <color rgb="FF7FD4FE"/>
      </top>
      <bottom style="thin">
        <color rgb="FF7FD4FE"/>
      </bottom>
      <diagonal/>
    </border>
    <border>
      <left style="thin">
        <color rgb="FFD1CED1"/>
      </left>
      <right style="thin">
        <color rgb="FFD1CED1"/>
      </right>
      <top style="thin">
        <color rgb="FFD1CED1"/>
      </top>
      <bottom style="thin">
        <color rgb="FFD1CED1"/>
      </bottom>
      <diagonal/>
    </border>
    <border>
      <left style="thin">
        <color rgb="FFA7F3A7"/>
      </left>
      <right style="thin">
        <color rgb="FFA7F3A7"/>
      </right>
      <top style="thin">
        <color rgb="FFA7F3A7"/>
      </top>
      <bottom style="thin">
        <color rgb="FFA7F3A7"/>
      </bottom>
      <diagonal/>
    </border>
    <border>
      <left style="thin">
        <color rgb="FFE3E88D"/>
      </left>
      <right style="thin">
        <color rgb="FFE3E88D"/>
      </right>
      <top style="thin">
        <color rgb="FFE3E88D"/>
      </top>
      <bottom style="thin">
        <color rgb="FFE3E88D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5" borderId="0" xfId="0" applyFill="1"/>
    <xf numFmtId="0" fontId="2" fillId="6" borderId="2" xfId="0" applyFont="1" applyFill="1" applyBorder="1"/>
    <xf numFmtId="10" fontId="0" fillId="0" borderId="0" xfId="0" applyNumberFormat="1"/>
    <xf numFmtId="0" fontId="0" fillId="7" borderId="0" xfId="0" applyFill="1"/>
    <xf numFmtId="10" fontId="0" fillId="7" borderId="0" xfId="0" applyNumberFormat="1" applyFill="1"/>
    <xf numFmtId="0" fontId="7" fillId="8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9" borderId="3" xfId="0" applyFon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8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8" fillId="10" borderId="5" xfId="0" applyFont="1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164" fontId="10" fillId="10" borderId="5" xfId="0" applyNumberFormat="1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0" fillId="11" borderId="6" xfId="0" applyFill="1" applyBorder="1" applyAlignment="1">
      <alignment horizontal="center"/>
    </xf>
    <xf numFmtId="164" fontId="11" fillId="11" borderId="6" xfId="0" applyNumberFormat="1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2" borderId="0" xfId="0" applyFont="1" applyFill="1" applyAlignment="1">
      <alignment horizontal="center" vertical="center"/>
    </xf>
    <xf numFmtId="0" fontId="0" fillId="0" borderId="0" xfId="0" applyFont="1" applyFill="1" applyBorder="1"/>
    <xf numFmtId="10" fontId="0" fillId="0" borderId="0" xfId="0" applyNumberFormat="1" applyFont="1" applyFill="1" applyBorder="1"/>
    <xf numFmtId="0" fontId="0" fillId="7" borderId="0" xfId="0" applyFont="1" applyFill="1" applyBorder="1"/>
    <xf numFmtId="10" fontId="0" fillId="7" borderId="0" xfId="0" applyNumberFormat="1" applyFont="1" applyFill="1" applyBorder="1"/>
    <xf numFmtId="0" fontId="0" fillId="0" borderId="0" xfId="0" applyFill="1" applyBorder="1"/>
    <xf numFmtId="0" fontId="7" fillId="8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00"/>
  <sheetViews>
    <sheetView zoomScale="70" zoomScaleNormal="70" workbookViewId="0">
      <selection activeCell="K19" sqref="K19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4" ht="32" customHeight="1" x14ac:dyDescent="0.35">
      <c r="A1" s="34" t="s">
        <v>250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3"/>
    </row>
    <row r="2" spans="1:14" ht="28" customHeight="1" x14ac:dyDescent="0.3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3"/>
    </row>
    <row r="3" spans="1:14" ht="8" customHeight="1" x14ac:dyDescent="0.3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</row>
    <row r="4" spans="1:14" ht="22" customHeight="1" x14ac:dyDescent="0.35">
      <c r="A4" s="13" t="s">
        <v>259</v>
      </c>
      <c r="B4" s="14"/>
      <c r="C4" s="14"/>
      <c r="D4" s="16" t="s">
        <v>260</v>
      </c>
      <c r="E4" s="17"/>
      <c r="F4" s="16" t="s">
        <v>261</v>
      </c>
      <c r="G4" s="17"/>
      <c r="H4" s="19" t="s">
        <v>262</v>
      </c>
      <c r="I4" s="20"/>
      <c r="J4" s="20"/>
      <c r="K4" s="22" t="s">
        <v>263</v>
      </c>
      <c r="L4" s="23"/>
      <c r="M4" s="23"/>
      <c r="N4" s="33"/>
    </row>
    <row r="5" spans="1:14" ht="22" customHeight="1" x14ac:dyDescent="0.35">
      <c r="A5" s="15" t="s">
        <v>310</v>
      </c>
      <c r="B5" s="14"/>
      <c r="C5" s="14"/>
      <c r="D5" s="18">
        <f>COUNTA(A11:A38)</f>
        <v>0</v>
      </c>
      <c r="E5" s="17"/>
      <c r="F5" s="18">
        <f>C39</f>
        <v>0</v>
      </c>
      <c r="G5" s="17"/>
      <c r="H5" s="21">
        <f>L39</f>
        <v>0</v>
      </c>
      <c r="I5" s="20"/>
      <c r="J5" s="20"/>
      <c r="K5" s="24">
        <f>K39</f>
        <v>0</v>
      </c>
      <c r="L5" s="23"/>
      <c r="M5" s="23"/>
      <c r="N5" s="33"/>
    </row>
    <row r="6" spans="1:14" ht="8" customHeight="1" x14ac:dyDescent="0.3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</row>
    <row r="7" spans="1:14" x14ac:dyDescent="0.3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</row>
    <row r="8" spans="1:14" x14ac:dyDescent="0.3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14" x14ac:dyDescent="0.3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</row>
    <row r="10" spans="1:14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4" x14ac:dyDescent="0.35">
      <c r="A11" s="29"/>
      <c r="B11" s="29"/>
      <c r="C11" s="29"/>
      <c r="D11" s="29"/>
      <c r="E11" s="29"/>
      <c r="F11" s="29"/>
      <c r="G11" s="29"/>
      <c r="H11" s="29"/>
      <c r="I11" s="29"/>
      <c r="J11" s="30"/>
      <c r="K11" s="29"/>
      <c r="L11" s="29"/>
      <c r="M11" s="29"/>
      <c r="N11" s="29"/>
    </row>
    <row r="12" spans="1:14" x14ac:dyDescent="0.35">
      <c r="A12" s="31"/>
      <c r="B12" s="31"/>
      <c r="C12" s="31"/>
      <c r="D12" s="31"/>
      <c r="E12" s="31"/>
      <c r="F12" s="31"/>
      <c r="G12" s="31"/>
      <c r="H12" s="31"/>
      <c r="I12" s="31"/>
      <c r="J12" s="32"/>
      <c r="K12" s="31"/>
      <c r="L12" s="31"/>
      <c r="M12" s="29"/>
      <c r="N12" s="29"/>
    </row>
    <row r="13" spans="1:14" x14ac:dyDescent="0.35">
      <c r="A13" s="29"/>
      <c r="B13" s="29"/>
      <c r="C13" s="29"/>
      <c r="D13" s="29"/>
      <c r="E13" s="29"/>
      <c r="F13" s="29"/>
      <c r="G13" s="29"/>
      <c r="H13" s="29"/>
      <c r="I13" s="29"/>
      <c r="J13" s="30"/>
      <c r="K13" s="29"/>
      <c r="L13" s="29"/>
      <c r="M13" s="29"/>
      <c r="N13" s="29"/>
    </row>
    <row r="14" spans="1:14" x14ac:dyDescent="0.35">
      <c r="A14" s="31"/>
      <c r="B14" s="31"/>
      <c r="C14" s="31"/>
      <c r="D14" s="31"/>
      <c r="E14" s="31"/>
      <c r="F14" s="31"/>
      <c r="G14" s="31"/>
      <c r="H14" s="31"/>
      <c r="I14" s="31"/>
      <c r="J14" s="32"/>
      <c r="K14" s="31"/>
      <c r="L14" s="31"/>
      <c r="M14" s="29"/>
      <c r="N14" s="29"/>
    </row>
    <row r="15" spans="1:14" x14ac:dyDescent="0.35">
      <c r="A15" s="29"/>
      <c r="B15" s="29"/>
      <c r="C15" s="29"/>
      <c r="D15" s="29"/>
      <c r="E15" s="29"/>
      <c r="F15" s="29"/>
      <c r="G15" s="29"/>
      <c r="H15" s="29"/>
      <c r="I15" s="29"/>
      <c r="J15" s="30"/>
      <c r="K15" s="29"/>
      <c r="L15" s="29"/>
      <c r="M15" s="29"/>
      <c r="N15" s="29"/>
    </row>
    <row r="16" spans="1:14" x14ac:dyDescent="0.35">
      <c r="A16" s="31"/>
      <c r="B16" s="31"/>
      <c r="C16" s="31"/>
      <c r="D16" s="31"/>
      <c r="E16" s="31"/>
      <c r="F16" s="31"/>
      <c r="G16" s="31"/>
      <c r="H16" s="31"/>
      <c r="I16" s="31"/>
      <c r="J16" s="32"/>
      <c r="K16" s="31"/>
      <c r="L16" s="31"/>
      <c r="M16" s="29"/>
      <c r="N16" s="29"/>
    </row>
    <row r="17" spans="1:14" x14ac:dyDescent="0.35">
      <c r="A17" s="29"/>
      <c r="B17" s="29"/>
      <c r="C17" s="29"/>
      <c r="D17" s="29"/>
      <c r="E17" s="29"/>
      <c r="F17" s="29"/>
      <c r="G17" s="29"/>
      <c r="H17" s="29"/>
      <c r="I17" s="29"/>
      <c r="J17" s="30"/>
      <c r="K17" s="29"/>
      <c r="L17" s="29"/>
      <c r="M17" s="29"/>
      <c r="N17" s="29"/>
    </row>
    <row r="18" spans="1:14" x14ac:dyDescent="0.35">
      <c r="A18" s="31"/>
      <c r="B18" s="31"/>
      <c r="C18" s="31"/>
      <c r="D18" s="31"/>
      <c r="E18" s="31"/>
      <c r="F18" s="31"/>
      <c r="G18" s="31"/>
      <c r="H18" s="31"/>
      <c r="I18" s="31"/>
      <c r="J18" s="32"/>
      <c r="K18" s="31"/>
      <c r="L18" s="31"/>
      <c r="M18" s="29"/>
      <c r="N18" s="29"/>
    </row>
    <row r="19" spans="1:14" x14ac:dyDescent="0.35">
      <c r="A19" s="29"/>
      <c r="B19" s="29"/>
      <c r="C19" s="29"/>
      <c r="D19" s="29"/>
      <c r="E19" s="29"/>
      <c r="F19" s="29"/>
      <c r="G19" s="29"/>
      <c r="H19" s="29"/>
      <c r="I19" s="29"/>
      <c r="J19" s="30"/>
      <c r="K19" s="29"/>
      <c r="L19" s="29"/>
      <c r="M19" s="29"/>
      <c r="N19" s="29"/>
    </row>
    <row r="20" spans="1:14" x14ac:dyDescent="0.35">
      <c r="A20" s="31"/>
      <c r="B20" s="31"/>
      <c r="C20" s="31"/>
      <c r="D20" s="31"/>
      <c r="E20" s="31"/>
      <c r="F20" s="31"/>
      <c r="G20" s="31"/>
      <c r="H20" s="31"/>
      <c r="I20" s="31"/>
      <c r="J20" s="32"/>
      <c r="K20" s="31"/>
      <c r="L20" s="31"/>
      <c r="M20" s="29"/>
      <c r="N20" s="29"/>
    </row>
    <row r="21" spans="1:14" ht="11.5" customHeight="1" x14ac:dyDescent="0.35">
      <c r="A21" s="29"/>
      <c r="B21" s="29"/>
      <c r="C21" s="29"/>
      <c r="D21" s="29"/>
      <c r="E21" s="29"/>
      <c r="F21" s="29"/>
      <c r="G21" s="29"/>
      <c r="H21" s="29"/>
      <c r="I21" s="29"/>
      <c r="J21" s="30"/>
      <c r="K21" s="29"/>
      <c r="L21" s="29"/>
      <c r="M21" s="29"/>
      <c r="N21" s="29"/>
    </row>
    <row r="22" spans="1:14" x14ac:dyDescent="0.35">
      <c r="A22" s="31"/>
      <c r="B22" s="31"/>
      <c r="C22" s="31"/>
      <c r="D22" s="31"/>
      <c r="E22" s="31"/>
      <c r="F22" s="31"/>
      <c r="G22" s="31"/>
      <c r="H22" s="31"/>
      <c r="I22" s="31"/>
      <c r="J22" s="32"/>
      <c r="K22" s="31"/>
      <c r="L22" s="31"/>
      <c r="M22" s="29"/>
      <c r="N22" s="29"/>
    </row>
    <row r="23" spans="1:14" x14ac:dyDescent="0.35">
      <c r="A23" s="29"/>
      <c r="B23" s="29"/>
      <c r="C23" s="29"/>
      <c r="D23" s="29"/>
      <c r="E23" s="29"/>
      <c r="F23" s="29"/>
      <c r="G23" s="29"/>
      <c r="H23" s="29"/>
      <c r="I23" s="29"/>
      <c r="J23" s="30"/>
      <c r="K23" s="29"/>
      <c r="L23" s="29"/>
      <c r="M23" s="29"/>
      <c r="N23" s="29"/>
    </row>
    <row r="24" spans="1:14" x14ac:dyDescent="0.35">
      <c r="A24" s="31"/>
      <c r="B24" s="31"/>
      <c r="C24" s="31"/>
      <c r="D24" s="31"/>
      <c r="E24" s="31"/>
      <c r="F24" s="31"/>
      <c r="G24" s="31"/>
      <c r="H24" s="31"/>
      <c r="I24" s="31"/>
      <c r="J24" s="32"/>
      <c r="K24" s="31"/>
      <c r="L24" s="31"/>
      <c r="M24" s="29"/>
      <c r="N24" s="29"/>
    </row>
    <row r="25" spans="1:14" x14ac:dyDescent="0.35">
      <c r="A25" s="29"/>
      <c r="B25" s="29"/>
      <c r="C25" s="29"/>
      <c r="D25" s="29"/>
      <c r="E25" s="29"/>
      <c r="F25" s="29"/>
      <c r="G25" s="29"/>
      <c r="H25" s="29"/>
      <c r="I25" s="29"/>
      <c r="J25" s="30"/>
      <c r="K25" s="29"/>
      <c r="L25" s="29"/>
      <c r="M25" s="29"/>
      <c r="N25" s="29"/>
    </row>
    <row r="26" spans="1:14" x14ac:dyDescent="0.35">
      <c r="A26" s="31"/>
      <c r="B26" s="31"/>
      <c r="C26" s="31"/>
      <c r="D26" s="31"/>
      <c r="E26" s="31"/>
      <c r="F26" s="31"/>
      <c r="G26" s="31"/>
      <c r="H26" s="31"/>
      <c r="I26" s="31"/>
      <c r="J26" s="32"/>
      <c r="K26" s="31"/>
      <c r="L26" s="31"/>
      <c r="M26" s="29"/>
      <c r="N26" s="29"/>
    </row>
    <row r="27" spans="1:14" x14ac:dyDescent="0.35">
      <c r="A27" s="29"/>
      <c r="B27" s="29"/>
      <c r="C27" s="29"/>
      <c r="D27" s="29"/>
      <c r="E27" s="29"/>
      <c r="F27" s="29"/>
      <c r="G27" s="29"/>
      <c r="H27" s="29"/>
      <c r="I27" s="29"/>
      <c r="J27" s="30"/>
      <c r="K27" s="29"/>
      <c r="L27" s="29"/>
      <c r="M27" s="29"/>
      <c r="N27" s="29"/>
    </row>
    <row r="28" spans="1:14" x14ac:dyDescent="0.35">
      <c r="A28" s="31"/>
      <c r="B28" s="31"/>
      <c r="C28" s="31"/>
      <c r="D28" s="31"/>
      <c r="E28" s="31"/>
      <c r="F28" s="31"/>
      <c r="G28" s="31"/>
      <c r="H28" s="31"/>
      <c r="I28" s="31"/>
      <c r="J28" s="32"/>
      <c r="K28" s="31"/>
      <c r="L28" s="31"/>
      <c r="M28" s="29"/>
      <c r="N28" s="29"/>
    </row>
    <row r="29" spans="1:14" x14ac:dyDescent="0.35">
      <c r="A29" s="29"/>
      <c r="B29" s="29"/>
      <c r="C29" s="29"/>
      <c r="D29" s="29"/>
      <c r="E29" s="29"/>
      <c r="F29" s="29"/>
      <c r="G29" s="29"/>
      <c r="H29" s="29"/>
      <c r="I29" s="29"/>
      <c r="J29" s="30"/>
      <c r="K29" s="29"/>
      <c r="L29" s="29"/>
      <c r="M29" s="29"/>
      <c r="N29" s="29"/>
    </row>
    <row r="30" spans="1:14" x14ac:dyDescent="0.35">
      <c r="A30" s="31"/>
      <c r="B30" s="31"/>
      <c r="C30" s="31"/>
      <c r="D30" s="31"/>
      <c r="E30" s="31"/>
      <c r="F30" s="31"/>
      <c r="G30" s="31"/>
      <c r="H30" s="31"/>
      <c r="I30" s="31"/>
      <c r="J30" s="32"/>
      <c r="K30" s="31"/>
      <c r="L30" s="31"/>
      <c r="M30" s="29"/>
      <c r="N30" s="29"/>
    </row>
    <row r="31" spans="1:14" x14ac:dyDescent="0.35">
      <c r="A31" s="29"/>
      <c r="B31" s="29"/>
      <c r="C31" s="29"/>
      <c r="D31" s="29"/>
      <c r="E31" s="29"/>
      <c r="F31" s="29"/>
      <c r="G31" s="29"/>
      <c r="H31" s="29"/>
      <c r="I31" s="29"/>
      <c r="J31" s="30"/>
      <c r="K31" s="29"/>
      <c r="L31" s="29"/>
      <c r="M31" s="29"/>
      <c r="N31" s="29"/>
    </row>
    <row r="32" spans="1:14" x14ac:dyDescent="0.35">
      <c r="A32" s="31"/>
      <c r="B32" s="31"/>
      <c r="C32" s="31"/>
      <c r="D32" s="31"/>
      <c r="E32" s="31"/>
      <c r="F32" s="31"/>
      <c r="G32" s="31"/>
      <c r="H32" s="31"/>
      <c r="I32" s="31"/>
      <c r="J32" s="32"/>
      <c r="K32" s="31"/>
      <c r="L32" s="31"/>
      <c r="M32" s="29"/>
      <c r="N32" s="29"/>
    </row>
    <row r="33" spans="1:14" x14ac:dyDescent="0.35">
      <c r="A33" s="29"/>
      <c r="B33" s="29"/>
      <c r="C33" s="29"/>
      <c r="D33" s="29"/>
      <c r="E33" s="29"/>
      <c r="F33" s="29"/>
      <c r="G33" s="29"/>
      <c r="H33" s="29"/>
      <c r="I33" s="29"/>
      <c r="J33" s="30"/>
      <c r="K33" s="29"/>
      <c r="L33" s="29"/>
      <c r="M33" s="29"/>
      <c r="N33" s="29"/>
    </row>
    <row r="34" spans="1:14" x14ac:dyDescent="0.35">
      <c r="A34" s="31"/>
      <c r="B34" s="31"/>
      <c r="C34" s="31"/>
      <c r="D34" s="31"/>
      <c r="E34" s="31"/>
      <c r="F34" s="31"/>
      <c r="G34" s="31"/>
      <c r="H34" s="31"/>
      <c r="I34" s="31"/>
      <c r="J34" s="32"/>
      <c r="K34" s="31"/>
      <c r="L34" s="31"/>
      <c r="M34" s="29"/>
      <c r="N34" s="29"/>
    </row>
    <row r="35" spans="1:14" x14ac:dyDescent="0.35">
      <c r="A35" s="29"/>
      <c r="B35" s="29"/>
      <c r="C35" s="29"/>
      <c r="D35" s="29"/>
      <c r="E35" s="29"/>
      <c r="F35" s="29"/>
      <c r="G35" s="29"/>
      <c r="H35" s="29"/>
      <c r="I35" s="29"/>
      <c r="J35" s="30"/>
      <c r="K35" s="29"/>
      <c r="L35" s="29"/>
      <c r="M35" s="29"/>
      <c r="N35" s="29"/>
    </row>
    <row r="36" spans="1:14" x14ac:dyDescent="0.35">
      <c r="A36" s="31"/>
      <c r="B36" s="31"/>
      <c r="C36" s="31"/>
      <c r="D36" s="31"/>
      <c r="E36" s="31"/>
      <c r="F36" s="31"/>
      <c r="G36" s="31"/>
      <c r="H36" s="31"/>
      <c r="I36" s="31"/>
      <c r="J36" s="32"/>
      <c r="K36" s="31"/>
      <c r="L36" s="31"/>
      <c r="M36" s="29"/>
      <c r="N36" s="29"/>
    </row>
    <row r="37" spans="1:14" x14ac:dyDescent="0.35">
      <c r="A37" s="29"/>
      <c r="B37" s="29"/>
      <c r="C37" s="29"/>
      <c r="D37" s="29"/>
      <c r="E37" s="29"/>
      <c r="F37" s="29"/>
      <c r="G37" s="29"/>
      <c r="H37" s="29"/>
      <c r="I37" s="29"/>
      <c r="J37" s="30"/>
      <c r="K37" s="29"/>
      <c r="L37" s="29"/>
      <c r="M37" s="29"/>
      <c r="N37" s="29"/>
    </row>
    <row r="38" spans="1:14" ht="15" thickBot="1" x14ac:dyDescent="0.4">
      <c r="A38" s="31"/>
      <c r="B38" s="31"/>
      <c r="C38" s="31"/>
      <c r="D38" s="31"/>
      <c r="E38" s="31"/>
      <c r="F38" s="31"/>
      <c r="G38" s="31"/>
      <c r="H38" s="31"/>
      <c r="I38" s="31"/>
      <c r="J38" s="32"/>
      <c r="K38" s="31"/>
      <c r="L38" s="31"/>
      <c r="M38" s="29"/>
      <c r="N38" s="29"/>
    </row>
    <row r="39" spans="1:14" ht="17" thickBot="1" x14ac:dyDescent="0.5">
      <c r="A39" s="25"/>
      <c r="B39" s="25"/>
      <c r="C39" s="7"/>
      <c r="D39" s="7"/>
      <c r="E39" s="7"/>
      <c r="F39" s="7"/>
      <c r="G39" s="7"/>
      <c r="H39" s="7"/>
      <c r="I39" s="7"/>
      <c r="J39" s="7"/>
      <c r="K39" s="7"/>
      <c r="L39" s="7"/>
      <c r="M39" s="29"/>
      <c r="N39" s="29"/>
    </row>
    <row r="40" spans="1:14" x14ac:dyDescent="0.35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</row>
    <row r="41" spans="1:14" x14ac:dyDescent="0.35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</row>
    <row r="42" spans="1:14" x14ac:dyDescent="0.35">
      <c r="A42" s="29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</row>
    <row r="43" spans="1:14" x14ac:dyDescent="0.35">
      <c r="A43" s="29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</row>
    <row r="44" spans="1:14" x14ac:dyDescent="0.35">
      <c r="A44" s="29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</row>
    <row r="45" spans="1:14" x14ac:dyDescent="0.35">
      <c r="A45" s="29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</row>
    <row r="46" spans="1:14" x14ac:dyDescent="0.35">
      <c r="A46" s="2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</row>
    <row r="47" spans="1:14" x14ac:dyDescent="0.35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</row>
    <row r="48" spans="1:14" x14ac:dyDescent="0.35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</row>
    <row r="49" spans="1:14" x14ac:dyDescent="0.35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</row>
    <row r="50" spans="1:14" x14ac:dyDescent="0.35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</row>
    <row r="51" spans="1:14" x14ac:dyDescent="0.35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</row>
    <row r="52" spans="1:14" x14ac:dyDescent="0.35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</row>
    <row r="53" spans="1:14" x14ac:dyDescent="0.35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</row>
    <row r="54" spans="1:14" x14ac:dyDescent="0.35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</row>
    <row r="55" spans="1:14" x14ac:dyDescent="0.35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</row>
    <row r="56" spans="1:14" x14ac:dyDescent="0.35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</row>
    <row r="57" spans="1:14" x14ac:dyDescent="0.35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</row>
    <row r="58" spans="1:14" x14ac:dyDescent="0.35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</row>
    <row r="59" spans="1:14" x14ac:dyDescent="0.35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</row>
    <row r="60" spans="1:14" x14ac:dyDescent="0.35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</row>
    <row r="61" spans="1:14" x14ac:dyDescent="0.35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</row>
    <row r="62" spans="1:14" x14ac:dyDescent="0.35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</row>
    <row r="63" spans="1:14" x14ac:dyDescent="0.35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</row>
    <row r="64" spans="1:14" x14ac:dyDescent="0.35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</row>
    <row r="65" spans="1:14" x14ac:dyDescent="0.35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</row>
    <row r="66" spans="1:14" x14ac:dyDescent="0.35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</row>
    <row r="67" spans="1:14" x14ac:dyDescent="0.35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</row>
    <row r="68" spans="1:14" x14ac:dyDescent="0.35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</row>
    <row r="69" spans="1:14" x14ac:dyDescent="0.35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</row>
    <row r="70" spans="1:14" x14ac:dyDescent="0.35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</row>
    <row r="71" spans="1:14" x14ac:dyDescent="0.35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</row>
    <row r="72" spans="1:14" x14ac:dyDescent="0.35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</row>
    <row r="73" spans="1:14" x14ac:dyDescent="0.35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</row>
    <row r="74" spans="1:14" x14ac:dyDescent="0.35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</row>
    <row r="75" spans="1:14" x14ac:dyDescent="0.35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</row>
    <row r="76" spans="1:14" x14ac:dyDescent="0.35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</row>
    <row r="77" spans="1:14" x14ac:dyDescent="0.35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</row>
    <row r="78" spans="1:14" x14ac:dyDescent="0.35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</row>
    <row r="79" spans="1:14" x14ac:dyDescent="0.35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</row>
    <row r="80" spans="1:14" x14ac:dyDescent="0.35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</row>
    <row r="81" spans="1:14" x14ac:dyDescent="0.35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</row>
    <row r="82" spans="1:14" x14ac:dyDescent="0.35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</row>
    <row r="83" spans="1:14" x14ac:dyDescent="0.35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</row>
    <row r="84" spans="1:14" x14ac:dyDescent="0.35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</row>
    <row r="85" spans="1:14" x14ac:dyDescent="0.35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</row>
    <row r="86" spans="1:14" x14ac:dyDescent="0.35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</row>
    <row r="87" spans="1:14" x14ac:dyDescent="0.35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</row>
    <row r="88" spans="1:14" x14ac:dyDescent="0.35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</row>
    <row r="89" spans="1:14" x14ac:dyDescent="0.35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</row>
    <row r="90" spans="1:14" x14ac:dyDescent="0.35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</row>
    <row r="91" spans="1:14" x14ac:dyDescent="0.35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</row>
    <row r="92" spans="1:14" x14ac:dyDescent="0.35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</row>
    <row r="93" spans="1:14" x14ac:dyDescent="0.35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</row>
    <row r="94" spans="1:14" x14ac:dyDescent="0.35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</row>
    <row r="95" spans="1:14" x14ac:dyDescent="0.35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</row>
    <row r="96" spans="1:14" x14ac:dyDescent="0.35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</row>
    <row r="97" spans="1:14" x14ac:dyDescent="0.35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</row>
    <row r="98" spans="1:14" x14ac:dyDescent="0.35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</row>
    <row r="99" spans="1:14" x14ac:dyDescent="0.35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</row>
    <row r="100" spans="1:14" x14ac:dyDescent="0.35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</row>
    <row r="101" spans="1:14" x14ac:dyDescent="0.35">
      <c r="A101" s="29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</row>
    <row r="102" spans="1:14" x14ac:dyDescent="0.35">
      <c r="A102" s="29"/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</row>
    <row r="103" spans="1:14" x14ac:dyDescent="0.35">
      <c r="A103" s="29"/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</row>
    <row r="104" spans="1:14" x14ac:dyDescent="0.35">
      <c r="A104" s="29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</row>
    <row r="105" spans="1:14" x14ac:dyDescent="0.35">
      <c r="A105" s="29"/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</row>
    <row r="106" spans="1:14" x14ac:dyDescent="0.35">
      <c r="A106" s="29"/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</row>
    <row r="107" spans="1:14" x14ac:dyDescent="0.35">
      <c r="A107" s="29"/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</row>
    <row r="108" spans="1:14" x14ac:dyDescent="0.35">
      <c r="A108" s="29"/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</row>
    <row r="109" spans="1:14" x14ac:dyDescent="0.35">
      <c r="A109" s="29"/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</row>
    <row r="110" spans="1:14" x14ac:dyDescent="0.35">
      <c r="A110" s="29"/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</row>
    <row r="111" spans="1:14" x14ac:dyDescent="0.35">
      <c r="A111" s="29"/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</row>
    <row r="112" spans="1:14" x14ac:dyDescent="0.35">
      <c r="A112" s="29"/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</row>
    <row r="113" spans="1:14" x14ac:dyDescent="0.35">
      <c r="A113" s="29"/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</row>
    <row r="114" spans="1:14" x14ac:dyDescent="0.35">
      <c r="A114" s="29"/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</row>
    <row r="115" spans="1:14" x14ac:dyDescent="0.35">
      <c r="A115" s="29"/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</row>
    <row r="116" spans="1:14" x14ac:dyDescent="0.35">
      <c r="A116" s="29"/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</row>
    <row r="117" spans="1:14" x14ac:dyDescent="0.35">
      <c r="A117" s="29"/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</row>
    <row r="118" spans="1:14" x14ac:dyDescent="0.35">
      <c r="A118" s="29"/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</row>
    <row r="119" spans="1:14" x14ac:dyDescent="0.35">
      <c r="A119" s="29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</row>
    <row r="120" spans="1:14" x14ac:dyDescent="0.35">
      <c r="A120" s="29"/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</row>
    <row r="121" spans="1:14" x14ac:dyDescent="0.35">
      <c r="A121" s="29"/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</row>
    <row r="122" spans="1:14" x14ac:dyDescent="0.35">
      <c r="A122" s="29"/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</row>
    <row r="123" spans="1:14" x14ac:dyDescent="0.35">
      <c r="A123" s="29"/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</row>
    <row r="124" spans="1:14" x14ac:dyDescent="0.35">
      <c r="A124" s="29"/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</row>
    <row r="125" spans="1:14" x14ac:dyDescent="0.35">
      <c r="A125" s="29"/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</row>
    <row r="126" spans="1:14" x14ac:dyDescent="0.35">
      <c r="A126" s="29"/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</row>
    <row r="127" spans="1:14" x14ac:dyDescent="0.35">
      <c r="A127" s="29"/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</row>
    <row r="128" spans="1:14" x14ac:dyDescent="0.35">
      <c r="A128" s="29"/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</row>
    <row r="129" spans="1:14" x14ac:dyDescent="0.35">
      <c r="A129" s="29"/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</row>
    <row r="130" spans="1:14" x14ac:dyDescent="0.35">
      <c r="A130" s="29"/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</row>
    <row r="131" spans="1:14" x14ac:dyDescent="0.35">
      <c r="A131" s="29"/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</row>
    <row r="132" spans="1:14" x14ac:dyDescent="0.35">
      <c r="A132" s="29"/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</row>
    <row r="133" spans="1:14" x14ac:dyDescent="0.35">
      <c r="A133" s="29"/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</row>
    <row r="134" spans="1:14" x14ac:dyDescent="0.35">
      <c r="A134" s="29"/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</row>
    <row r="135" spans="1:14" x14ac:dyDescent="0.35">
      <c r="A135" s="29"/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</row>
    <row r="136" spans="1:14" x14ac:dyDescent="0.35">
      <c r="A136" s="29"/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</row>
    <row r="137" spans="1:14" x14ac:dyDescent="0.35">
      <c r="A137" s="29"/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</row>
    <row r="138" spans="1:14" x14ac:dyDescent="0.35">
      <c r="A138" s="29"/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</row>
    <row r="139" spans="1:14" x14ac:dyDescent="0.35">
      <c r="A139" s="29"/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</row>
    <row r="140" spans="1:14" x14ac:dyDescent="0.35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</row>
    <row r="141" spans="1:14" x14ac:dyDescent="0.35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</row>
    <row r="142" spans="1:14" x14ac:dyDescent="0.35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</row>
    <row r="143" spans="1:14" x14ac:dyDescent="0.35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</row>
    <row r="144" spans="1:14" x14ac:dyDescent="0.35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</row>
    <row r="145" spans="1:14" x14ac:dyDescent="0.35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</row>
    <row r="146" spans="1:14" x14ac:dyDescent="0.35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</row>
    <row r="147" spans="1:14" x14ac:dyDescent="0.35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</row>
    <row r="148" spans="1:14" x14ac:dyDescent="0.35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</row>
    <row r="149" spans="1:14" x14ac:dyDescent="0.35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</row>
    <row r="150" spans="1:14" x14ac:dyDescent="0.3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</row>
    <row r="151" spans="1:14" x14ac:dyDescent="0.3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</row>
    <row r="152" spans="1:14" x14ac:dyDescent="0.3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</row>
    <row r="153" spans="1:14" x14ac:dyDescent="0.3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</row>
    <row r="154" spans="1:14" x14ac:dyDescent="0.3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</row>
    <row r="155" spans="1:14" x14ac:dyDescent="0.35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</row>
    <row r="156" spans="1:14" x14ac:dyDescent="0.35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</row>
    <row r="157" spans="1:14" x14ac:dyDescent="0.3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</row>
    <row r="158" spans="1:14" x14ac:dyDescent="0.35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</row>
    <row r="159" spans="1:14" x14ac:dyDescent="0.35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</row>
    <row r="160" spans="1:14" x14ac:dyDescent="0.3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</row>
    <row r="161" spans="1:14" x14ac:dyDescent="0.3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</row>
    <row r="162" spans="1:14" x14ac:dyDescent="0.35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</row>
    <row r="163" spans="1:14" x14ac:dyDescent="0.35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</row>
    <row r="164" spans="1:14" x14ac:dyDescent="0.35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</row>
    <row r="165" spans="1:14" x14ac:dyDescent="0.35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</row>
    <row r="166" spans="1:14" x14ac:dyDescent="0.35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</row>
    <row r="167" spans="1:14" x14ac:dyDescent="0.35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</row>
    <row r="168" spans="1:14" x14ac:dyDescent="0.35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</row>
    <row r="169" spans="1:14" x14ac:dyDescent="0.35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</row>
    <row r="170" spans="1:14" x14ac:dyDescent="0.35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</row>
    <row r="171" spans="1:14" x14ac:dyDescent="0.35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</row>
    <row r="172" spans="1:14" x14ac:dyDescent="0.35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</row>
    <row r="173" spans="1:14" x14ac:dyDescent="0.35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</row>
    <row r="174" spans="1:14" x14ac:dyDescent="0.35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</row>
    <row r="175" spans="1:14" x14ac:dyDescent="0.35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</row>
    <row r="176" spans="1:14" x14ac:dyDescent="0.35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</row>
    <row r="177" spans="1:14" x14ac:dyDescent="0.35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</row>
    <row r="178" spans="1:14" x14ac:dyDescent="0.35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</row>
    <row r="179" spans="1:14" x14ac:dyDescent="0.35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</row>
    <row r="180" spans="1:14" x14ac:dyDescent="0.35">
      <c r="A180" s="29"/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</row>
    <row r="181" spans="1:14" x14ac:dyDescent="0.35">
      <c r="A181" s="29"/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</row>
    <row r="182" spans="1:14" x14ac:dyDescent="0.35">
      <c r="A182" s="29"/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</row>
    <row r="183" spans="1:14" x14ac:dyDescent="0.35">
      <c r="A183" s="29"/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</row>
    <row r="184" spans="1:14" x14ac:dyDescent="0.35">
      <c r="A184" s="29"/>
      <c r="B184" s="29"/>
      <c r="C184" s="29"/>
      <c r="D184" s="29"/>
      <c r="E184" s="29"/>
      <c r="F184" s="29"/>
      <c r="G184" s="29"/>
      <c r="H184" s="29"/>
      <c r="I184" s="29"/>
      <c r="J184" s="29"/>
      <c r="K184" s="29"/>
      <c r="L184" s="29"/>
      <c r="M184" s="29"/>
      <c r="N184" s="29"/>
    </row>
    <row r="185" spans="1:14" x14ac:dyDescent="0.35">
      <c r="A185" s="29"/>
      <c r="B185" s="29"/>
      <c r="C185" s="29"/>
      <c r="D185" s="29"/>
      <c r="E185" s="29"/>
      <c r="F185" s="29"/>
      <c r="G185" s="29"/>
      <c r="H185" s="29"/>
      <c r="I185" s="29"/>
      <c r="J185" s="29"/>
      <c r="K185" s="29"/>
      <c r="L185" s="29"/>
      <c r="M185" s="29"/>
      <c r="N185" s="29"/>
    </row>
    <row r="186" spans="1:14" x14ac:dyDescent="0.35">
      <c r="A186" s="29"/>
      <c r="B186" s="29"/>
      <c r="C186" s="29"/>
      <c r="D186" s="29"/>
      <c r="E186" s="29"/>
      <c r="F186" s="29"/>
      <c r="G186" s="29"/>
      <c r="H186" s="29"/>
      <c r="I186" s="29"/>
      <c r="J186" s="29"/>
      <c r="K186" s="29"/>
      <c r="L186" s="29"/>
      <c r="M186" s="29"/>
      <c r="N186" s="29"/>
    </row>
    <row r="187" spans="1:14" x14ac:dyDescent="0.35">
      <c r="A187" s="29"/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</row>
    <row r="188" spans="1:14" x14ac:dyDescent="0.35">
      <c r="A188" s="29"/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  <c r="M188" s="29"/>
      <c r="N188" s="29"/>
    </row>
    <row r="189" spans="1:14" x14ac:dyDescent="0.35">
      <c r="A189" s="29"/>
      <c r="B189" s="29"/>
      <c r="C189" s="29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29"/>
    </row>
    <row r="190" spans="1:14" x14ac:dyDescent="0.35">
      <c r="A190" s="29"/>
      <c r="B190" s="29"/>
      <c r="C190" s="29"/>
      <c r="D190" s="29"/>
      <c r="E190" s="29"/>
      <c r="F190" s="29"/>
      <c r="G190" s="29"/>
      <c r="H190" s="29"/>
      <c r="I190" s="29"/>
      <c r="J190" s="29"/>
      <c r="K190" s="29"/>
      <c r="L190" s="29"/>
      <c r="M190" s="29"/>
      <c r="N190" s="29"/>
    </row>
    <row r="191" spans="1:14" x14ac:dyDescent="0.35">
      <c r="A191" s="29"/>
      <c r="B191" s="29"/>
      <c r="C191" s="29"/>
      <c r="D191" s="29"/>
      <c r="E191" s="29"/>
      <c r="F191" s="29"/>
      <c r="G191" s="29"/>
      <c r="H191" s="29"/>
      <c r="I191" s="29"/>
      <c r="J191" s="29"/>
      <c r="K191" s="29"/>
      <c r="L191" s="29"/>
      <c r="M191" s="29"/>
      <c r="N191" s="29"/>
    </row>
    <row r="192" spans="1:14" x14ac:dyDescent="0.35">
      <c r="A192" s="29"/>
      <c r="B192" s="29"/>
      <c r="C192" s="29"/>
      <c r="D192" s="29"/>
      <c r="E192" s="29"/>
      <c r="F192" s="29"/>
      <c r="G192" s="29"/>
      <c r="H192" s="29"/>
      <c r="I192" s="29"/>
      <c r="J192" s="29"/>
      <c r="K192" s="29"/>
      <c r="L192" s="29"/>
      <c r="M192" s="29"/>
      <c r="N192" s="29"/>
    </row>
    <row r="193" spans="1:14" x14ac:dyDescent="0.35">
      <c r="A193" s="29"/>
      <c r="B193" s="29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</row>
    <row r="194" spans="1:14" x14ac:dyDescent="0.35">
      <c r="A194" s="29"/>
      <c r="B194" s="29"/>
      <c r="C194" s="29"/>
      <c r="D194" s="29"/>
      <c r="E194" s="29"/>
      <c r="F194" s="29"/>
      <c r="G194" s="29"/>
      <c r="H194" s="29"/>
      <c r="I194" s="29"/>
      <c r="J194" s="29"/>
      <c r="K194" s="29"/>
      <c r="L194" s="29"/>
      <c r="M194" s="29"/>
      <c r="N194" s="29"/>
    </row>
    <row r="195" spans="1:14" x14ac:dyDescent="0.35">
      <c r="A195" s="29"/>
      <c r="B195" s="29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29"/>
    </row>
    <row r="196" spans="1:14" x14ac:dyDescent="0.35">
      <c r="A196" s="29"/>
      <c r="B196" s="29"/>
      <c r="C196" s="29"/>
      <c r="D196" s="29"/>
      <c r="E196" s="29"/>
      <c r="F196" s="29"/>
      <c r="G196" s="29"/>
      <c r="H196" s="29"/>
      <c r="I196" s="29"/>
      <c r="J196" s="29"/>
      <c r="K196" s="29"/>
      <c r="L196" s="29"/>
      <c r="M196" s="29"/>
      <c r="N196" s="29"/>
    </row>
    <row r="197" spans="1:14" x14ac:dyDescent="0.35">
      <c r="A197" s="29"/>
      <c r="B197" s="29"/>
      <c r="C197" s="29"/>
      <c r="D197" s="29"/>
      <c r="E197" s="29"/>
      <c r="F197" s="29"/>
      <c r="G197" s="29"/>
      <c r="H197" s="29"/>
      <c r="I197" s="29"/>
      <c r="J197" s="29"/>
      <c r="K197" s="29"/>
      <c r="L197" s="29"/>
      <c r="M197" s="29"/>
      <c r="N197" s="29"/>
    </row>
    <row r="198" spans="1:14" x14ac:dyDescent="0.35">
      <c r="A198" s="29"/>
      <c r="B198" s="29"/>
      <c r="C198" s="29"/>
      <c r="D198" s="29"/>
      <c r="E198" s="29"/>
      <c r="F198" s="29"/>
      <c r="G198" s="29"/>
      <c r="H198" s="29"/>
      <c r="I198" s="29"/>
      <c r="J198" s="29"/>
      <c r="K198" s="29"/>
      <c r="L198" s="29"/>
      <c r="M198" s="29"/>
      <c r="N198" s="29"/>
    </row>
    <row r="199" spans="1:14" x14ac:dyDescent="0.35">
      <c r="A199" s="29"/>
      <c r="B199" s="29"/>
      <c r="C199" s="29"/>
      <c r="D199" s="29"/>
      <c r="E199" s="29"/>
      <c r="F199" s="29"/>
      <c r="G199" s="29"/>
      <c r="H199" s="29"/>
      <c r="I199" s="29"/>
      <c r="J199" s="29"/>
      <c r="K199" s="29"/>
      <c r="L199" s="29"/>
      <c r="M199" s="29"/>
      <c r="N199" s="29"/>
    </row>
    <row r="200" spans="1:14" x14ac:dyDescent="0.35">
      <c r="A200" s="29"/>
      <c r="B200" s="29"/>
      <c r="C200" s="29"/>
      <c r="D200" s="29"/>
      <c r="E200" s="29"/>
      <c r="F200" s="29"/>
      <c r="G200" s="29"/>
      <c r="H200" s="29"/>
      <c r="I200" s="29"/>
      <c r="J200" s="29"/>
      <c r="K200" s="29"/>
      <c r="L200" s="29"/>
      <c r="M200" s="29"/>
      <c r="N200" s="29"/>
    </row>
  </sheetData>
  <mergeCells count="12">
    <mergeCell ref="A39:B39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3"/>
  <sheetViews>
    <sheetView workbookViewId="0">
      <selection activeCell="F17" sqref="F17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1" t="s">
        <v>251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ht="28" customHeight="1" x14ac:dyDescent="0.3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</row>
    <row r="3" spans="1:13" ht="8" customHeight="1" x14ac:dyDescent="0.35"/>
    <row r="4" spans="1:13" ht="22" customHeight="1" x14ac:dyDescent="0.35">
      <c r="A4" s="13" t="s">
        <v>259</v>
      </c>
      <c r="B4" s="14"/>
      <c r="C4" s="14"/>
      <c r="D4" s="16" t="s">
        <v>260</v>
      </c>
      <c r="E4" s="17"/>
      <c r="F4" s="16" t="s">
        <v>261</v>
      </c>
      <c r="G4" s="17"/>
      <c r="H4" s="19" t="s">
        <v>262</v>
      </c>
      <c r="I4" s="20"/>
      <c r="J4" s="20"/>
      <c r="K4" s="22" t="s">
        <v>263</v>
      </c>
      <c r="L4" s="23"/>
      <c r="M4" s="23"/>
    </row>
    <row r="5" spans="1:13" ht="22" customHeight="1" x14ac:dyDescent="0.35">
      <c r="A5" s="15" t="s">
        <v>196</v>
      </c>
      <c r="B5" s="14"/>
      <c r="C5" s="14"/>
      <c r="D5" s="18">
        <f>COUNTA(A11:A12)</f>
        <v>0</v>
      </c>
      <c r="E5" s="17"/>
      <c r="F5" s="18">
        <f>C13</f>
        <v>0</v>
      </c>
      <c r="G5" s="17"/>
      <c r="H5" s="21">
        <f>L13</f>
        <v>0</v>
      </c>
      <c r="I5" s="20"/>
      <c r="J5" s="20"/>
      <c r="K5" s="24">
        <f>K13</f>
        <v>0</v>
      </c>
      <c r="L5" s="23"/>
      <c r="M5" s="23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J11" s="8"/>
    </row>
    <row r="12" spans="1:13" ht="15" thickBot="1" x14ac:dyDescent="0.4">
      <c r="A12" s="9"/>
      <c r="B12" s="9"/>
      <c r="C12" s="9"/>
      <c r="D12" s="9"/>
      <c r="E12" s="9"/>
      <c r="F12" s="9"/>
      <c r="G12" s="9"/>
      <c r="H12" s="9"/>
      <c r="I12" s="9"/>
      <c r="J12" s="10"/>
      <c r="K12" s="9"/>
      <c r="L12" s="9"/>
    </row>
    <row r="13" spans="1:13" ht="17" thickBot="1" x14ac:dyDescent="0.5">
      <c r="A13" s="25"/>
      <c r="B13" s="25"/>
      <c r="C13" s="7"/>
      <c r="D13" s="7"/>
      <c r="E13" s="7"/>
      <c r="F13" s="7"/>
      <c r="G13" s="7"/>
      <c r="H13" s="7"/>
      <c r="I13" s="7"/>
      <c r="J13" s="7"/>
      <c r="K13" s="7"/>
      <c r="L13" s="7"/>
    </row>
  </sheetData>
  <mergeCells count="12">
    <mergeCell ref="A13:B13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4"/>
  <sheetViews>
    <sheetView workbookViewId="0">
      <selection activeCell="K15" sqref="K15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1" t="s">
        <v>252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ht="28" customHeight="1" x14ac:dyDescent="0.3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</row>
    <row r="3" spans="1:13" ht="8" customHeight="1" x14ac:dyDescent="0.35"/>
    <row r="4" spans="1:13" ht="22" customHeight="1" x14ac:dyDescent="0.35">
      <c r="A4" s="13" t="s">
        <v>259</v>
      </c>
      <c r="B4" s="14"/>
      <c r="C4" s="14"/>
      <c r="D4" s="16" t="s">
        <v>260</v>
      </c>
      <c r="E4" s="17"/>
      <c r="F4" s="16" t="s">
        <v>261</v>
      </c>
      <c r="G4" s="17"/>
      <c r="H4" s="19" t="s">
        <v>262</v>
      </c>
      <c r="I4" s="20"/>
      <c r="J4" s="20"/>
      <c r="K4" s="22" t="s">
        <v>263</v>
      </c>
      <c r="L4" s="23"/>
      <c r="M4" s="23"/>
    </row>
    <row r="5" spans="1:13" ht="22" customHeight="1" x14ac:dyDescent="0.35">
      <c r="A5" s="15" t="s">
        <v>275</v>
      </c>
      <c r="B5" s="14"/>
      <c r="C5" s="14"/>
      <c r="D5" s="18">
        <f>COUNTA(A11:A43)</f>
        <v>33</v>
      </c>
      <c r="E5" s="17"/>
      <c r="F5" s="18">
        <f>C44</f>
        <v>34</v>
      </c>
      <c r="G5" s="17"/>
      <c r="H5" s="21">
        <f>L44</f>
        <v>13734.49</v>
      </c>
      <c r="I5" s="20"/>
      <c r="J5" s="20"/>
      <c r="K5" s="24">
        <f>K44</f>
        <v>16901.509999999998</v>
      </c>
      <c r="L5" s="23"/>
      <c r="M5" s="23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A11" t="s">
        <v>158</v>
      </c>
      <c r="B11" t="s">
        <v>277</v>
      </c>
      <c r="C11">
        <v>1</v>
      </c>
      <c r="D11">
        <v>0</v>
      </c>
      <c r="E11">
        <v>799</v>
      </c>
      <c r="F11" t="str">
        <f>IF(ISBLANK(A11), "", IFERROR(INDEX('Price list'!B:B, MATCH(LEFT(UPPER(SUBSTITUTE(A11, " ", "")), 8) &amp; "*", 'Price list'!F:F, 0)), ""))</f>
        <v>SMRT1309</v>
      </c>
      <c r="G11">
        <f>IF(ISBLANK(A11), "", IFERROR(INDEX('Price list'!C:C, MATCH(LEFT(UPPER(SUBSTITUTE(A11, " ", "")), 8) &amp; "*", 'Price list'!F:F, 0)), 0))</f>
        <v>799</v>
      </c>
      <c r="H11">
        <f>IF(ISBLANK(A11), "", IFERROR(INDEX('Price list'!E:E, MATCH(LEFT(UPPER(SUBSTITUTE(A11, " ", "")), 8) &amp; "*", 'Price list'!F:F, 0)), 0))</f>
        <v>0.05</v>
      </c>
      <c r="I11">
        <f>IF(ISBLANK(A11), "", IFERROR(INDEX('Price list'!D:D, MATCH(LEFT(UPPER(SUBSTITUTE(A11, " ", "")), 8) &amp; "*", 'Price list'!F:F, 0)), ""))</f>
        <v>95030020</v>
      </c>
      <c r="J11" s="8">
        <f>IF(ISBLANK(A11), 0, IF(G11=0, 0, ROUND(1 - (369.56 / G11), 5)))</f>
        <v>0.53747</v>
      </c>
      <c r="K11">
        <f t="shared" ref="K11:K43" si="0">IF(ISBLANK(A11), "", ROUND(G11*C11*J11,2))</f>
        <v>429.44</v>
      </c>
      <c r="L11">
        <f t="shared" ref="L11:L43" si="1">IF(ISBLANK(A11), "", (G11*C11)-K11)</f>
        <v>369.56</v>
      </c>
      <c r="M11" t="str">
        <f>IF(ISBLANK(A11), "", IF(F11="", "⚠️ SKU not found in Price List", IF(ROUND(E11,2)&lt;&gt;ROUND(G11,2), "⚠️ Price Mismatch! (PO: " &amp; TEXT(E11,"#,##0.00") &amp; ", List: " &amp; TEXT(G11,"#,##0.00") &amp; ")", "✅ OK")))</f>
        <v>✅ OK</v>
      </c>
    </row>
    <row r="12" spans="1:13" x14ac:dyDescent="0.35">
      <c r="A12" s="9" t="s">
        <v>147</v>
      </c>
      <c r="B12" s="9" t="s">
        <v>278</v>
      </c>
      <c r="C12" s="9">
        <v>2</v>
      </c>
      <c r="D12" s="9">
        <v>0</v>
      </c>
      <c r="E12" s="9">
        <v>769</v>
      </c>
      <c r="F12" s="9" t="str">
        <f>IF(ISBLANK(A12), "", IFERROR(INDEX('Price list'!B:B, MATCH(LEFT(UPPER(SUBSTITUTE(A12, " ", "")), 8) &amp; "*", 'Price list'!F:F, 0)), ""))</f>
        <v>SMRT1293</v>
      </c>
      <c r="G12" s="9">
        <f>IF(ISBLANK(A12), "", IFERROR(INDEX('Price list'!C:C, MATCH(LEFT(UPPER(SUBSTITUTE(A12, " ", "")), 8) &amp; "*", 'Price list'!F:F, 0)), 0))</f>
        <v>769</v>
      </c>
      <c r="H12" s="9">
        <f>IF(ISBLANK(A12), "", IFERROR(INDEX('Price list'!E:E, MATCH(LEFT(UPPER(SUBSTITUTE(A12, " ", "")), 8) &amp; "*", 'Price list'!F:F, 0)), 0))</f>
        <v>0.05</v>
      </c>
      <c r="I12" s="9">
        <f>IF(ISBLANK(A12), "", IFERROR(INDEX('Price list'!D:D, MATCH(LEFT(UPPER(SUBSTITUTE(A12, " ", "")), 8) &amp; "*", 'Price list'!F:F, 0)), ""))</f>
        <v>95030020</v>
      </c>
      <c r="J12" s="10">
        <f>IF(ISBLANK(A12), 0, IF(G12=0, 0, ROUND(1 - (348.87 / G12), 5)))</f>
        <v>0.54632999999999998</v>
      </c>
      <c r="K12" s="9">
        <f t="shared" si="0"/>
        <v>840.26</v>
      </c>
      <c r="L12" s="9">
        <f t="shared" si="1"/>
        <v>697.74</v>
      </c>
      <c r="M12" t="str">
        <f>IF(ISBLANK(A12), "", IF(F12="", "⚠️ SKU not found in Price List", IF(ROUND(E12,2)&lt;&gt;ROUND(G12,2), "⚠️ Price Mismatch! (PO: " &amp; TEXT(E12,"#,##0.00") &amp; ", List: " &amp; TEXT(G12,"#,##0.00") &amp; ")", "✅ OK")))</f>
        <v>✅ OK</v>
      </c>
    </row>
    <row r="13" spans="1:13" x14ac:dyDescent="0.35">
      <c r="A13" t="s">
        <v>156</v>
      </c>
      <c r="B13" t="s">
        <v>279</v>
      </c>
      <c r="C13">
        <v>1</v>
      </c>
      <c r="D13">
        <v>0</v>
      </c>
      <c r="E13">
        <v>1149</v>
      </c>
      <c r="F13" t="str">
        <f>IF(ISBLANK(A13), "", IFERROR(INDEX('Price list'!B:B, MATCH(LEFT(UPPER(SUBSTITUTE(A13, " ", "")), 8) &amp; "*", 'Price list'!F:F, 0)), ""))</f>
        <v>SMRT1303</v>
      </c>
      <c r="G13">
        <f>IF(ISBLANK(A13), "", IFERROR(INDEX('Price list'!C:C, MATCH(LEFT(UPPER(SUBSTITUTE(A13, " ", "")), 8) &amp; "*", 'Price list'!F:F, 0)), 0))</f>
        <v>1149</v>
      </c>
      <c r="H13">
        <f>IF(ISBLANK(A13), "", IFERROR(INDEX('Price list'!E:E, MATCH(LEFT(UPPER(SUBSTITUTE(A13, " ", "")), 8) &amp; "*", 'Price list'!F:F, 0)), 0))</f>
        <v>0.05</v>
      </c>
      <c r="I13">
        <f>IF(ISBLANK(A13), "", IFERROR(INDEX('Price list'!D:D, MATCH(LEFT(UPPER(SUBSTITUTE(A13, " ", "")), 8) &amp; "*", 'Price list'!F:F, 0)), ""))</f>
        <v>95030020</v>
      </c>
      <c r="J13" s="8">
        <f>IF(ISBLANK(A13), 0, IF(G13=0, 0, ROUND(1 - (546 / G13), 5)))</f>
        <v>0.52480000000000004</v>
      </c>
      <c r="K13">
        <f t="shared" si="0"/>
        <v>603</v>
      </c>
      <c r="L13">
        <f t="shared" si="1"/>
        <v>546</v>
      </c>
      <c r="M13" t="str">
        <f>IF(ISBLANK(A13), "", IF(F13="", "⚠️ SKU not found in Price List", IF(ROUND(E13,2)&lt;&gt;ROUND(G13,2), "⚠️ Price Mismatch! (PO: " &amp; TEXT(E13,"#,##0.00") &amp; ", List: " &amp; TEXT(G13,"#,##0.00") &amp; ")", "✅ OK")))</f>
        <v>✅ OK</v>
      </c>
    </row>
    <row r="14" spans="1:13" x14ac:dyDescent="0.35">
      <c r="A14" s="9" t="s">
        <v>170</v>
      </c>
      <c r="B14" s="9" t="s">
        <v>280</v>
      </c>
      <c r="C14" s="9">
        <v>1</v>
      </c>
      <c r="D14" s="9">
        <v>0</v>
      </c>
      <c r="E14" s="9">
        <v>699</v>
      </c>
      <c r="F14" s="9" t="str">
        <f>IF(ISBLANK(A14), "", IFERROR(INDEX('Price list'!B:B, MATCH(LEFT(UPPER(SUBSTITUTE(A14, " ", "")), 8) &amp; "*", 'Price list'!F:F, 0)), ""))</f>
        <v>SMRT1328</v>
      </c>
      <c r="G14" s="9">
        <f>IF(ISBLANK(A14), "", IFERROR(INDEX('Price list'!C:C, MATCH(LEFT(UPPER(SUBSTITUTE(A14, " ", "")), 8) &amp; "*", 'Price list'!F:F, 0)), 0))</f>
        <v>699</v>
      </c>
      <c r="H14" s="9">
        <f>IF(ISBLANK(A14), "", IFERROR(INDEX('Price list'!E:E, MATCH(LEFT(UPPER(SUBSTITUTE(A14, " ", "")), 8) &amp; "*", 'Price list'!F:F, 0)), 0))</f>
        <v>0.05</v>
      </c>
      <c r="I14" s="9">
        <f>IF(ISBLANK(A14), "", IFERROR(INDEX('Price list'!D:D, MATCH(LEFT(UPPER(SUBSTITUTE(A14, " ", "")), 8) &amp; "*", 'Price list'!F:F, 0)), ""))</f>
        <v>95030020</v>
      </c>
      <c r="J14" s="10">
        <f>IF(ISBLANK(A14), 0, IF(G14=0, 0, ROUND(1 - (313.75 / G14), 5)))</f>
        <v>0.55113999999999996</v>
      </c>
      <c r="K14" s="9">
        <f t="shared" si="0"/>
        <v>385.25</v>
      </c>
      <c r="L14" s="9">
        <f t="shared" si="1"/>
        <v>313.75</v>
      </c>
      <c r="M14" t="s">
        <v>281</v>
      </c>
    </row>
    <row r="15" spans="1:13" x14ac:dyDescent="0.35">
      <c r="A15" t="s">
        <v>163</v>
      </c>
      <c r="B15" t="s">
        <v>282</v>
      </c>
      <c r="C15">
        <v>1</v>
      </c>
      <c r="D15">
        <v>0</v>
      </c>
      <c r="E15">
        <v>599</v>
      </c>
      <c r="F15" t="str">
        <f>IF(ISBLANK(A15), "", IFERROR(INDEX('Price list'!B:B, MATCH(LEFT(UPPER(SUBSTITUTE(A15, " ", "")), 8) &amp; "*", 'Price list'!F:F, 0)), ""))</f>
        <v>SMRT1320</v>
      </c>
      <c r="G15">
        <f>IF(ISBLANK(A15), "", IFERROR(INDEX('Price list'!C:C, MATCH(LEFT(UPPER(SUBSTITUTE(A15, " ", "")), 8) &amp; "*", 'Price list'!F:F, 0)), 0))</f>
        <v>599</v>
      </c>
      <c r="H15">
        <f>IF(ISBLANK(A15), "", IFERROR(INDEX('Price list'!E:E, MATCH(LEFT(UPPER(SUBSTITUTE(A15, " ", "")), 8) &amp; "*", 'Price list'!F:F, 0)), 0))</f>
        <v>0.05</v>
      </c>
      <c r="I15">
        <f>IF(ISBLANK(A15), "", IFERROR(INDEX('Price list'!D:D, MATCH(LEFT(UPPER(SUBSTITUTE(A15, " ", "")), 8) &amp; "*", 'Price list'!F:F, 0)), ""))</f>
        <v>95030020</v>
      </c>
      <c r="J15" s="8">
        <f>IF(ISBLANK(A15), 0, IF(G15=0, 0, ROUND(1 - (270.4 / G15), 5)))</f>
        <v>0.54857999999999996</v>
      </c>
      <c r="K15">
        <f t="shared" si="0"/>
        <v>328.6</v>
      </c>
      <c r="L15">
        <f t="shared" si="1"/>
        <v>270.39999999999998</v>
      </c>
      <c r="M15" t="str">
        <f t="shared" ref="M15:M24" si="2">IF(ISBLANK(A15), "", IF(F15="", "⚠️ SKU not found in Price List", IF(ROUND(E15,2)&lt;&gt;ROUND(G15,2), "⚠️ Price Mismatch! (PO: " &amp; TEXT(E15,"#,##0.00") &amp; ", List: " &amp; TEXT(G15,"#,##0.00") &amp; ")", "✅ OK")))</f>
        <v>✅ OK</v>
      </c>
    </row>
    <row r="16" spans="1:13" x14ac:dyDescent="0.35">
      <c r="A16" s="9" t="s">
        <v>156</v>
      </c>
      <c r="B16" s="9" t="s">
        <v>279</v>
      </c>
      <c r="C16" s="9">
        <v>1</v>
      </c>
      <c r="D16" s="9">
        <v>0</v>
      </c>
      <c r="E16" s="9">
        <v>1149</v>
      </c>
      <c r="F16" s="9" t="str">
        <f>IF(ISBLANK(A16), "", IFERROR(INDEX('Price list'!B:B, MATCH(LEFT(UPPER(SUBSTITUTE(A16, " ", "")), 8) &amp; "*", 'Price list'!F:F, 0)), ""))</f>
        <v>SMRT1303</v>
      </c>
      <c r="G16" s="9">
        <f>IF(ISBLANK(A16), "", IFERROR(INDEX('Price list'!C:C, MATCH(LEFT(UPPER(SUBSTITUTE(A16, " ", "")), 8) &amp; "*", 'Price list'!F:F, 0)), 0))</f>
        <v>1149</v>
      </c>
      <c r="H16" s="9">
        <f>IF(ISBLANK(A16), "", IFERROR(INDEX('Price list'!E:E, MATCH(LEFT(UPPER(SUBSTITUTE(A16, " ", "")), 8) &amp; "*", 'Price list'!F:F, 0)), 0))</f>
        <v>0.05</v>
      </c>
      <c r="I16" s="9">
        <f>IF(ISBLANK(A16), "", IFERROR(INDEX('Price list'!D:D, MATCH(LEFT(UPPER(SUBSTITUTE(A16, " ", "")), 8) &amp; "*", 'Price list'!F:F, 0)), ""))</f>
        <v>95030020</v>
      </c>
      <c r="J16" s="10">
        <f>IF(ISBLANK(A16), 0, IF(G16=0, 0, ROUND(1 - (546 / G16), 5)))</f>
        <v>0.52480000000000004</v>
      </c>
      <c r="K16" s="9">
        <f t="shared" si="0"/>
        <v>603</v>
      </c>
      <c r="L16" s="9">
        <f t="shared" si="1"/>
        <v>546</v>
      </c>
      <c r="M16" t="str">
        <f t="shared" si="2"/>
        <v>✅ OK</v>
      </c>
    </row>
    <row r="17" spans="1:13" x14ac:dyDescent="0.35">
      <c r="A17" t="s">
        <v>158</v>
      </c>
      <c r="B17" t="s">
        <v>277</v>
      </c>
      <c r="C17">
        <v>1</v>
      </c>
      <c r="D17">
        <v>0</v>
      </c>
      <c r="E17">
        <v>799</v>
      </c>
      <c r="F17" t="str">
        <f>IF(ISBLANK(A17), "", IFERROR(INDEX('Price list'!B:B, MATCH(LEFT(UPPER(SUBSTITUTE(A17, " ", "")), 8) &amp; "*", 'Price list'!F:F, 0)), ""))</f>
        <v>SMRT1309</v>
      </c>
      <c r="G17">
        <f>IF(ISBLANK(A17), "", IFERROR(INDEX('Price list'!C:C, MATCH(LEFT(UPPER(SUBSTITUTE(A17, " ", "")), 8) &amp; "*", 'Price list'!F:F, 0)), 0))</f>
        <v>799</v>
      </c>
      <c r="H17">
        <f>IF(ISBLANK(A17), "", IFERROR(INDEX('Price list'!E:E, MATCH(LEFT(UPPER(SUBSTITUTE(A17, " ", "")), 8) &amp; "*", 'Price list'!F:F, 0)), 0))</f>
        <v>0.05</v>
      </c>
      <c r="I17">
        <f>IF(ISBLANK(A17), "", IFERROR(INDEX('Price list'!D:D, MATCH(LEFT(UPPER(SUBSTITUTE(A17, " ", "")), 8) &amp; "*", 'Price list'!F:F, 0)), ""))</f>
        <v>95030020</v>
      </c>
      <c r="J17" s="8">
        <f>IF(ISBLANK(A17), 0, IF(G17=0, 0, ROUND(1 - (369.56 / G17), 5)))</f>
        <v>0.53747</v>
      </c>
      <c r="K17">
        <f t="shared" si="0"/>
        <v>429.44</v>
      </c>
      <c r="L17">
        <f t="shared" si="1"/>
        <v>369.56</v>
      </c>
      <c r="M17" t="str">
        <f t="shared" si="2"/>
        <v>✅ OK</v>
      </c>
    </row>
    <row r="18" spans="1:13" x14ac:dyDescent="0.35">
      <c r="A18" s="9" t="s">
        <v>115</v>
      </c>
      <c r="B18" s="9" t="s">
        <v>283</v>
      </c>
      <c r="C18" s="9">
        <v>1</v>
      </c>
      <c r="D18" s="9">
        <v>0</v>
      </c>
      <c r="E18" s="9">
        <v>1099</v>
      </c>
      <c r="F18" s="9" t="str">
        <f>IF(ISBLANK(A18), "", IFERROR(INDEX('Price list'!B:B, MATCH(LEFT(UPPER(SUBSTITUTE(A18, " ", "")), 8) &amp; "*", 'Price list'!F:F, 0)), ""))</f>
        <v>SMRT1230-18</v>
      </c>
      <c r="G18" s="9">
        <f>IF(ISBLANK(A18), "", IFERROR(INDEX('Price list'!C:C, MATCH(LEFT(UPPER(SUBSTITUTE(A18, " ", "")), 8) &amp; "*", 'Price list'!F:F, 0)), 0))</f>
        <v>1099</v>
      </c>
      <c r="H18" s="9">
        <f>IF(ISBLANK(A18), "", IFERROR(INDEX('Price list'!E:E, MATCH(LEFT(UPPER(SUBSTITUTE(A18, " ", "")), 8) &amp; "*", 'Price list'!F:F, 0)), 0))</f>
        <v>0.18</v>
      </c>
      <c r="I18" s="9">
        <f>IF(ISBLANK(A18), "", IFERROR(INDEX('Price list'!D:D, MATCH(LEFT(UPPER(SUBSTITUTE(A18, " ", "")), 8) &amp; "*", 'Price list'!F:F, 0)), ""))</f>
        <v>95030010</v>
      </c>
      <c r="J18" s="10">
        <f>IF(ISBLANK(A18), 0, IF(G18=0, 0, ROUND(1 - (408.67 / G18), 5)))</f>
        <v>0.62814000000000003</v>
      </c>
      <c r="K18" s="9">
        <f t="shared" si="0"/>
        <v>690.33</v>
      </c>
      <c r="L18" s="9">
        <f t="shared" si="1"/>
        <v>408.66999999999996</v>
      </c>
      <c r="M18" t="str">
        <f t="shared" si="2"/>
        <v>✅ OK</v>
      </c>
    </row>
    <row r="19" spans="1:13" x14ac:dyDescent="0.35">
      <c r="A19" t="s">
        <v>157</v>
      </c>
      <c r="B19" t="s">
        <v>284</v>
      </c>
      <c r="C19">
        <v>1</v>
      </c>
      <c r="D19">
        <v>0</v>
      </c>
      <c r="E19">
        <v>869</v>
      </c>
      <c r="F19" t="str">
        <f>IF(ISBLANK(A19), "", IFERROR(INDEX('Price list'!B:B, MATCH(LEFT(UPPER(SUBSTITUTE(A19, " ", "")), 8) &amp; "*", 'Price list'!F:F, 0)), ""))</f>
        <v>SMRT1305</v>
      </c>
      <c r="G19">
        <f>IF(ISBLANK(A19), "", IFERROR(INDEX('Price list'!C:C, MATCH(LEFT(UPPER(SUBSTITUTE(A19, " ", "")), 8) &amp; "*", 'Price list'!F:F, 0)), 0))</f>
        <v>869</v>
      </c>
      <c r="H19">
        <f>IF(ISBLANK(A19), "", IFERROR(INDEX('Price list'!E:E, MATCH(LEFT(UPPER(SUBSTITUTE(A19, " ", "")), 8) &amp; "*", 'Price list'!F:F, 0)), 0))</f>
        <v>0.05</v>
      </c>
      <c r="I19">
        <f>IF(ISBLANK(A19), "", IFERROR(INDEX('Price list'!D:D, MATCH(LEFT(UPPER(SUBSTITUTE(A19, " ", "")), 8) &amp; "*", 'Price list'!F:F, 0)), ""))</f>
        <v>95030020</v>
      </c>
      <c r="J19" s="8">
        <f>IF(ISBLANK(A19), 0, IF(G19=0, 0, ROUND(1 - (366.16 / G19), 5)))</f>
        <v>0.57864000000000004</v>
      </c>
      <c r="K19">
        <f t="shared" si="0"/>
        <v>502.84</v>
      </c>
      <c r="L19">
        <f t="shared" si="1"/>
        <v>366.16</v>
      </c>
      <c r="M19" t="str">
        <f t="shared" si="2"/>
        <v>✅ OK</v>
      </c>
    </row>
    <row r="20" spans="1:13" x14ac:dyDescent="0.35">
      <c r="A20" s="9" t="s">
        <v>121</v>
      </c>
      <c r="B20" s="9" t="s">
        <v>285</v>
      </c>
      <c r="C20" s="9">
        <v>1</v>
      </c>
      <c r="D20" s="9">
        <v>0</v>
      </c>
      <c r="E20" s="9">
        <v>819</v>
      </c>
      <c r="F20" s="9" t="str">
        <f>IF(ISBLANK(A20), "", IFERROR(INDEX('Price list'!B:B, MATCH(LEFT(UPPER(SUBSTITUTE(A20, " ", "")), 8) &amp; "*", 'Price list'!F:F, 0)), ""))</f>
        <v>SMRT1242 V2</v>
      </c>
      <c r="G20" s="9">
        <f>IF(ISBLANK(A20), "", IFERROR(INDEX('Price list'!C:C, MATCH(LEFT(UPPER(SUBSTITUTE(A20, " ", "")), 8) &amp; "*", 'Price list'!F:F, 0)), 0))</f>
        <v>819</v>
      </c>
      <c r="H20" s="9">
        <f>IF(ISBLANK(A20), "", IFERROR(INDEX('Price list'!E:E, MATCH(LEFT(UPPER(SUBSTITUTE(A20, " ", "")), 8) &amp; "*", 'Price list'!F:F, 0)), 0))</f>
        <v>0.05</v>
      </c>
      <c r="I20" s="9">
        <f>IF(ISBLANK(A20), "", IFERROR(INDEX('Price list'!D:D, MATCH(LEFT(UPPER(SUBSTITUTE(A20, " ", "")), 8) &amp; "*", 'Price list'!F:F, 0)), ""))</f>
        <v>95030020</v>
      </c>
      <c r="J20" s="10">
        <f>IF(ISBLANK(A20), 0, IF(G20=0, 0, ROUND(1 - (366.15 / G20), 5)))</f>
        <v>0.55293000000000003</v>
      </c>
      <c r="K20" s="9">
        <f t="shared" si="0"/>
        <v>452.85</v>
      </c>
      <c r="L20" s="9">
        <f t="shared" si="1"/>
        <v>366.15</v>
      </c>
      <c r="M20" t="str">
        <f t="shared" si="2"/>
        <v>✅ OK</v>
      </c>
    </row>
    <row r="21" spans="1:13" x14ac:dyDescent="0.35">
      <c r="A21" t="s">
        <v>163</v>
      </c>
      <c r="B21" t="s">
        <v>282</v>
      </c>
      <c r="C21">
        <v>1</v>
      </c>
      <c r="D21">
        <v>0</v>
      </c>
      <c r="E21">
        <v>599</v>
      </c>
      <c r="F21" t="str">
        <f>IF(ISBLANK(A21), "", IFERROR(INDEX('Price list'!B:B, MATCH(LEFT(UPPER(SUBSTITUTE(A21, " ", "")), 8) &amp; "*", 'Price list'!F:F, 0)), ""))</f>
        <v>SMRT1320</v>
      </c>
      <c r="G21">
        <f>IF(ISBLANK(A21), "", IFERROR(INDEX('Price list'!C:C, MATCH(LEFT(UPPER(SUBSTITUTE(A21, " ", "")), 8) &amp; "*", 'Price list'!F:F, 0)), 0))</f>
        <v>599</v>
      </c>
      <c r="H21">
        <f>IF(ISBLANK(A21), "", IFERROR(INDEX('Price list'!E:E, MATCH(LEFT(UPPER(SUBSTITUTE(A21, " ", "")), 8) &amp; "*", 'Price list'!F:F, 0)), 0))</f>
        <v>0.05</v>
      </c>
      <c r="I21">
        <f>IF(ISBLANK(A21), "", IFERROR(INDEX('Price list'!D:D, MATCH(LEFT(UPPER(SUBSTITUTE(A21, " ", "")), 8) &amp; "*", 'Price list'!F:F, 0)), ""))</f>
        <v>95030020</v>
      </c>
      <c r="J21" s="8">
        <f>IF(ISBLANK(A21), 0, IF(G21=0, 0, ROUND(1 - (270.4 / G21), 5)))</f>
        <v>0.54857999999999996</v>
      </c>
      <c r="K21">
        <f t="shared" si="0"/>
        <v>328.6</v>
      </c>
      <c r="L21">
        <f t="shared" si="1"/>
        <v>270.39999999999998</v>
      </c>
      <c r="M21" t="str">
        <f t="shared" si="2"/>
        <v>✅ OK</v>
      </c>
    </row>
    <row r="22" spans="1:13" x14ac:dyDescent="0.35">
      <c r="A22" s="9" t="s">
        <v>121</v>
      </c>
      <c r="B22" s="9" t="s">
        <v>285</v>
      </c>
      <c r="C22" s="9">
        <v>1</v>
      </c>
      <c r="D22" s="9">
        <v>0</v>
      </c>
      <c r="E22" s="9">
        <v>819</v>
      </c>
      <c r="F22" s="9" t="str">
        <f>IF(ISBLANK(A22), "", IFERROR(INDEX('Price list'!B:B, MATCH(LEFT(UPPER(SUBSTITUTE(A22, " ", "")), 8) &amp; "*", 'Price list'!F:F, 0)), ""))</f>
        <v>SMRT1242 V2</v>
      </c>
      <c r="G22" s="9">
        <f>IF(ISBLANK(A22), "", IFERROR(INDEX('Price list'!C:C, MATCH(LEFT(UPPER(SUBSTITUTE(A22, " ", "")), 8) &amp; "*", 'Price list'!F:F, 0)), 0))</f>
        <v>819</v>
      </c>
      <c r="H22" s="9">
        <f>IF(ISBLANK(A22), "", IFERROR(INDEX('Price list'!E:E, MATCH(LEFT(UPPER(SUBSTITUTE(A22, " ", "")), 8) &amp; "*", 'Price list'!F:F, 0)), 0))</f>
        <v>0.05</v>
      </c>
      <c r="I22" s="9">
        <f>IF(ISBLANK(A22), "", IFERROR(INDEX('Price list'!D:D, MATCH(LEFT(UPPER(SUBSTITUTE(A22, " ", "")), 8) &amp; "*", 'Price list'!F:F, 0)), ""))</f>
        <v>95030020</v>
      </c>
      <c r="J22" s="10">
        <f>IF(ISBLANK(A22), 0, IF(G22=0, 0, ROUND(1 - (366.15 / G22), 5)))</f>
        <v>0.55293000000000003</v>
      </c>
      <c r="K22" s="9">
        <f t="shared" si="0"/>
        <v>452.85</v>
      </c>
      <c r="L22" s="9">
        <f t="shared" si="1"/>
        <v>366.15</v>
      </c>
      <c r="M22" t="str">
        <f t="shared" si="2"/>
        <v>✅ OK</v>
      </c>
    </row>
    <row r="23" spans="1:13" x14ac:dyDescent="0.35">
      <c r="A23" t="s">
        <v>173</v>
      </c>
      <c r="B23" t="s">
        <v>286</v>
      </c>
      <c r="C23">
        <v>1</v>
      </c>
      <c r="D23">
        <v>0</v>
      </c>
      <c r="E23">
        <v>1149</v>
      </c>
      <c r="F23" t="str">
        <f>IF(ISBLANK(A23), "", IFERROR(INDEX('Price list'!B:B, MATCH(LEFT(UPPER(SUBSTITUTE(A23, " ", "")), 8) &amp; "*", 'Price list'!F:F, 0)), ""))</f>
        <v>SMRT1334</v>
      </c>
      <c r="G23">
        <f>IF(ISBLANK(A23), "", IFERROR(INDEX('Price list'!C:C, MATCH(LEFT(UPPER(SUBSTITUTE(A23, " ", "")), 8) &amp; "*", 'Price list'!F:F, 0)), 0))</f>
        <v>1149</v>
      </c>
      <c r="H23">
        <f>IF(ISBLANK(A23), "", IFERROR(INDEX('Price list'!E:E, MATCH(LEFT(UPPER(SUBSTITUTE(A23, " ", "")), 8) &amp; "*", 'Price list'!F:F, 0)), 0))</f>
        <v>0.05</v>
      </c>
      <c r="I23">
        <f>IF(ISBLANK(A23), "", IFERROR(INDEX('Price list'!D:D, MATCH(LEFT(UPPER(SUBSTITUTE(A23, " ", "")), 8) &amp; "*", 'Price list'!F:F, 0)), ""))</f>
        <v>95030020</v>
      </c>
      <c r="J23" s="8">
        <f>IF(ISBLANK(A23), 0, IF(G23=0, 0, ROUND(1 - (546 / G23), 5)))</f>
        <v>0.52480000000000004</v>
      </c>
      <c r="K23">
        <f t="shared" si="0"/>
        <v>603</v>
      </c>
      <c r="L23">
        <f t="shared" si="1"/>
        <v>546</v>
      </c>
      <c r="M23" t="str">
        <f t="shared" si="2"/>
        <v>✅ OK</v>
      </c>
    </row>
    <row r="24" spans="1:13" x14ac:dyDescent="0.35">
      <c r="A24" s="9" t="s">
        <v>176</v>
      </c>
      <c r="B24" s="9" t="s">
        <v>287</v>
      </c>
      <c r="C24" s="9">
        <v>1</v>
      </c>
      <c r="D24" s="9">
        <v>0</v>
      </c>
      <c r="E24" s="9">
        <v>749</v>
      </c>
      <c r="F24" s="9" t="str">
        <f>IF(ISBLANK(A24), "", IFERROR(INDEX('Price list'!B:B, MATCH(LEFT(UPPER(SUBSTITUTE(A24, " ", "")), 8) &amp; "*", 'Price list'!F:F, 0)), ""))</f>
        <v>SMRT1337</v>
      </c>
      <c r="G24" s="9">
        <f>IF(ISBLANK(A24), "", IFERROR(INDEX('Price list'!C:C, MATCH(LEFT(UPPER(SUBSTITUTE(A24, " ", "")), 8) &amp; "*", 'Price list'!F:F, 0)), 0))</f>
        <v>749</v>
      </c>
      <c r="H24" s="9">
        <f>IF(ISBLANK(A24), "", IFERROR(INDEX('Price list'!E:E, MATCH(LEFT(UPPER(SUBSTITUTE(A24, " ", "")), 8) &amp; "*", 'Price list'!F:F, 0)), 0))</f>
        <v>0.05</v>
      </c>
      <c r="I24" s="9">
        <f>IF(ISBLANK(A24), "", IFERROR(INDEX('Price list'!D:D, MATCH(LEFT(UPPER(SUBSTITUTE(A24, " ", "")), 8) &amp; "*", 'Price list'!F:F, 0)), ""))</f>
        <v>95030020</v>
      </c>
      <c r="J24" s="10">
        <f>IF(ISBLANK(A24), 0, IF(G24=0, 0, ROUND(1 - (336.19 / G24), 5)))</f>
        <v>0.55115000000000003</v>
      </c>
      <c r="K24" s="9">
        <f t="shared" si="0"/>
        <v>412.81</v>
      </c>
      <c r="L24" s="9">
        <f t="shared" si="1"/>
        <v>336.19</v>
      </c>
      <c r="M24" t="str">
        <f t="shared" si="2"/>
        <v>✅ OK</v>
      </c>
    </row>
    <row r="25" spans="1:13" x14ac:dyDescent="0.35">
      <c r="A25" t="s">
        <v>171</v>
      </c>
      <c r="B25" t="s">
        <v>288</v>
      </c>
      <c r="C25">
        <v>1</v>
      </c>
      <c r="D25">
        <v>0</v>
      </c>
      <c r="E25">
        <v>559</v>
      </c>
      <c r="F25" t="str">
        <f>IF(ISBLANK(A25), "", IFERROR(INDEX('Price list'!B:B, MATCH(LEFT(UPPER(SUBSTITUTE(A25, " ", "")), 8) &amp; "*", 'Price list'!F:F, 0)), ""))</f>
        <v>SMRT1329</v>
      </c>
      <c r="G25">
        <f>IF(ISBLANK(A25), "", IFERROR(INDEX('Price list'!C:C, MATCH(LEFT(UPPER(SUBSTITUTE(A25, " ", "")), 8) &amp; "*", 'Price list'!F:F, 0)), 0))</f>
        <v>559</v>
      </c>
      <c r="H25">
        <f>IF(ISBLANK(A25), "", IFERROR(INDEX('Price list'!E:E, MATCH(LEFT(UPPER(SUBSTITUTE(A25, " ", "")), 8) &amp; "*", 'Price list'!F:F, 0)), 0))</f>
        <v>0.05</v>
      </c>
      <c r="I25">
        <f>IF(ISBLANK(A25), "", IFERROR(INDEX('Price list'!D:D, MATCH(LEFT(UPPER(SUBSTITUTE(A25, " ", "")), 8) &amp; "*", 'Price list'!F:F, 0)), ""))</f>
        <v>95030020</v>
      </c>
      <c r="J25" s="8">
        <f>IF(ISBLANK(A25), 0, IF(G25=0, 0, ROUND(1 - (277.09 / G25), 5)))</f>
        <v>0.50431000000000004</v>
      </c>
      <c r="K25">
        <f t="shared" si="0"/>
        <v>281.91000000000003</v>
      </c>
      <c r="L25">
        <f t="shared" si="1"/>
        <v>277.08999999999997</v>
      </c>
      <c r="M25" t="s">
        <v>289</v>
      </c>
    </row>
    <row r="26" spans="1:13" x14ac:dyDescent="0.35">
      <c r="A26" s="9" t="s">
        <v>121</v>
      </c>
      <c r="B26" s="9" t="s">
        <v>285</v>
      </c>
      <c r="C26" s="9">
        <v>1</v>
      </c>
      <c r="D26" s="9">
        <v>0</v>
      </c>
      <c r="E26" s="9">
        <v>819</v>
      </c>
      <c r="F26" s="9" t="str">
        <f>IF(ISBLANK(A26), "", IFERROR(INDEX('Price list'!B:B, MATCH(LEFT(UPPER(SUBSTITUTE(A26, " ", "")), 8) &amp; "*", 'Price list'!F:F, 0)), ""))</f>
        <v>SMRT1242 V2</v>
      </c>
      <c r="G26" s="9">
        <f>IF(ISBLANK(A26), "", IFERROR(INDEX('Price list'!C:C, MATCH(LEFT(UPPER(SUBSTITUTE(A26, " ", "")), 8) &amp; "*", 'Price list'!F:F, 0)), 0))</f>
        <v>819</v>
      </c>
      <c r="H26" s="9">
        <f>IF(ISBLANK(A26), "", IFERROR(INDEX('Price list'!E:E, MATCH(LEFT(UPPER(SUBSTITUTE(A26, " ", "")), 8) &amp; "*", 'Price list'!F:F, 0)), 0))</f>
        <v>0.05</v>
      </c>
      <c r="I26" s="9">
        <f>IF(ISBLANK(A26), "", IFERROR(INDEX('Price list'!D:D, MATCH(LEFT(UPPER(SUBSTITUTE(A26, " ", "")), 8) &amp; "*", 'Price list'!F:F, 0)), ""))</f>
        <v>95030020</v>
      </c>
      <c r="J26" s="10">
        <f>IF(ISBLANK(A26), 0, IF(G26=0, 0, ROUND(1 - (366.15 / G26), 5)))</f>
        <v>0.55293000000000003</v>
      </c>
      <c r="K26" s="9">
        <f t="shared" si="0"/>
        <v>452.85</v>
      </c>
      <c r="L26" s="9">
        <f t="shared" si="1"/>
        <v>366.15</v>
      </c>
      <c r="M26" t="str">
        <f t="shared" ref="M26:M40" si="3">IF(ISBLANK(A26), "", IF(F26="", "⚠️ SKU not found in Price List", IF(ROUND(E26,2)&lt;&gt;ROUND(G26,2), "⚠️ Price Mismatch! (PO: " &amp; TEXT(E26,"#,##0.00") &amp; ", List: " &amp; TEXT(G26,"#,##0.00") &amp; ")", "✅ OK")))</f>
        <v>✅ OK</v>
      </c>
    </row>
    <row r="27" spans="1:13" x14ac:dyDescent="0.35">
      <c r="A27" t="s">
        <v>155</v>
      </c>
      <c r="B27" t="s">
        <v>290</v>
      </c>
      <c r="C27">
        <v>1</v>
      </c>
      <c r="D27">
        <v>0</v>
      </c>
      <c r="E27">
        <v>999</v>
      </c>
      <c r="F27" t="str">
        <f>IF(ISBLANK(A27), "", IFERROR(INDEX('Price list'!B:B, MATCH(LEFT(UPPER(SUBSTITUTE(A27, " ", "")), 8) &amp; "*", 'Price list'!F:F, 0)), ""))</f>
        <v>SMRT1302</v>
      </c>
      <c r="G27">
        <f>IF(ISBLANK(A27), "", IFERROR(INDEX('Price list'!C:C, MATCH(LEFT(UPPER(SUBSTITUTE(A27, " ", "")), 8) &amp; "*", 'Price list'!F:F, 0)), 0))</f>
        <v>999</v>
      </c>
      <c r="H27">
        <f>IF(ISBLANK(A27), "", IFERROR(INDEX('Price list'!E:E, MATCH(LEFT(UPPER(SUBSTITUTE(A27, " ", "")), 8) &amp; "*", 'Price list'!F:F, 0)), 0))</f>
        <v>0.18</v>
      </c>
      <c r="I27">
        <f>IF(ISBLANK(A27), "", IFERROR(INDEX('Price list'!D:D, MATCH(LEFT(UPPER(SUBSTITUTE(A27, " ", "")), 8) &amp; "*", 'Price list'!F:F, 0)), ""))</f>
        <v>95030010</v>
      </c>
      <c r="J27" s="8">
        <f>IF(ISBLANK(A27), 0, IF(G27=0, 0, ROUND(1 - (390.06 / G27), 5)))</f>
        <v>0.60955000000000004</v>
      </c>
      <c r="K27">
        <f t="shared" si="0"/>
        <v>608.94000000000005</v>
      </c>
      <c r="L27">
        <f t="shared" si="1"/>
        <v>390.05999999999995</v>
      </c>
      <c r="M27" t="str">
        <f t="shared" si="3"/>
        <v>✅ OK</v>
      </c>
    </row>
    <row r="28" spans="1:13" x14ac:dyDescent="0.35">
      <c r="A28" s="9" t="s">
        <v>91</v>
      </c>
      <c r="B28" s="9" t="s">
        <v>291</v>
      </c>
      <c r="C28" s="9">
        <v>1</v>
      </c>
      <c r="D28" s="9">
        <v>0</v>
      </c>
      <c r="E28" s="9">
        <v>1159</v>
      </c>
      <c r="F28" s="9" t="str">
        <f>IF(ISBLANK(A28), "", IFERROR(INDEX('Price list'!B:B, MATCH(LEFT(UPPER(SUBSTITUTE(A28, " ", "")), 8) &amp; "*", 'Price list'!F:F, 0)), ""))</f>
        <v>SMRT1184</v>
      </c>
      <c r="G28" s="9">
        <f>IF(ISBLANK(A28), "", IFERROR(INDEX('Price list'!C:C, MATCH(LEFT(UPPER(SUBSTITUTE(A28, " ", "")), 8) &amp; "*", 'Price list'!F:F, 0)), 0))</f>
        <v>1159</v>
      </c>
      <c r="H28" s="9">
        <f>IF(ISBLANK(A28), "", IFERROR(INDEX('Price list'!E:E, MATCH(LEFT(UPPER(SUBSTITUTE(A28, " ", "")), 8) &amp; "*", 'Price list'!F:F, 0)), 0))</f>
        <v>0.05</v>
      </c>
      <c r="I28" s="9">
        <f>IF(ISBLANK(A28), "", IFERROR(INDEX('Price list'!D:D, MATCH(LEFT(UPPER(SUBSTITUTE(A28, " ", "")), 8) &amp; "*", 'Price list'!F:F, 0)), ""))</f>
        <v>95030020</v>
      </c>
      <c r="J28" s="10">
        <f>IF(ISBLANK(A28), 0, IF(G28=0, 0, ROUND(1 - (518.03 / G28), 5)))</f>
        <v>0.55303999999999998</v>
      </c>
      <c r="K28" s="9">
        <f t="shared" si="0"/>
        <v>640.97</v>
      </c>
      <c r="L28" s="9">
        <f t="shared" si="1"/>
        <v>518.03</v>
      </c>
      <c r="M28" t="str">
        <f t="shared" si="3"/>
        <v>✅ OK</v>
      </c>
    </row>
    <row r="29" spans="1:13" x14ac:dyDescent="0.35">
      <c r="A29" t="s">
        <v>91</v>
      </c>
      <c r="B29" t="s">
        <v>291</v>
      </c>
      <c r="C29">
        <v>1</v>
      </c>
      <c r="D29">
        <v>0</v>
      </c>
      <c r="E29">
        <v>1159</v>
      </c>
      <c r="F29" t="str">
        <f>IF(ISBLANK(A29), "", IFERROR(INDEX('Price list'!B:B, MATCH(LEFT(UPPER(SUBSTITUTE(A29, " ", "")), 8) &amp; "*", 'Price list'!F:F, 0)), ""))</f>
        <v>SMRT1184</v>
      </c>
      <c r="G29">
        <f>IF(ISBLANK(A29), "", IFERROR(INDEX('Price list'!C:C, MATCH(LEFT(UPPER(SUBSTITUTE(A29, " ", "")), 8) &amp; "*", 'Price list'!F:F, 0)), 0))</f>
        <v>1159</v>
      </c>
      <c r="H29">
        <f>IF(ISBLANK(A29), "", IFERROR(INDEX('Price list'!E:E, MATCH(LEFT(UPPER(SUBSTITUTE(A29, " ", "")), 8) &amp; "*", 'Price list'!F:F, 0)), 0))</f>
        <v>0.05</v>
      </c>
      <c r="I29">
        <f>IF(ISBLANK(A29), "", IFERROR(INDEX('Price list'!D:D, MATCH(LEFT(UPPER(SUBSTITUTE(A29, " ", "")), 8) &amp; "*", 'Price list'!F:F, 0)), ""))</f>
        <v>95030020</v>
      </c>
      <c r="J29" s="8">
        <f>IF(ISBLANK(A29), 0, IF(G29=0, 0, ROUND(1 - (518.03 / G29), 5)))</f>
        <v>0.55303999999999998</v>
      </c>
      <c r="K29">
        <f t="shared" si="0"/>
        <v>640.97</v>
      </c>
      <c r="L29">
        <f t="shared" si="1"/>
        <v>518.03</v>
      </c>
      <c r="M29" t="str">
        <f t="shared" si="3"/>
        <v>✅ OK</v>
      </c>
    </row>
    <row r="30" spans="1:13" x14ac:dyDescent="0.35">
      <c r="A30" s="9" t="s">
        <v>76</v>
      </c>
      <c r="B30" s="9" t="s">
        <v>292</v>
      </c>
      <c r="C30" s="9">
        <v>1</v>
      </c>
      <c r="D30" s="9">
        <v>0</v>
      </c>
      <c r="E30" s="9">
        <v>979</v>
      </c>
      <c r="F30" s="9" t="str">
        <f>IF(ISBLANK(A30), "", IFERROR(INDEX('Price list'!B:B, MATCH(LEFT(UPPER(SUBSTITUTE(A30, " ", "")), 8) &amp; "*", 'Price list'!F:F, 0)), ""))</f>
        <v>SMRT1163 (V3)</v>
      </c>
      <c r="G30" s="9">
        <f>IF(ISBLANK(A30), "", IFERROR(INDEX('Price list'!C:C, MATCH(LEFT(UPPER(SUBSTITUTE(A30, " ", "")), 8) &amp; "*", 'Price list'!F:F, 0)), 0))</f>
        <v>979</v>
      </c>
      <c r="H30" s="9">
        <f>IF(ISBLANK(A30), "", IFERROR(INDEX('Price list'!E:E, MATCH(LEFT(UPPER(SUBSTITUTE(A30, " ", "")), 8) &amp; "*", 'Price list'!F:F, 0)), 0))</f>
        <v>0.05</v>
      </c>
      <c r="I30" s="9">
        <f>IF(ISBLANK(A30), "", IFERROR(INDEX('Price list'!D:D, MATCH(LEFT(UPPER(SUBSTITUTE(A30, " ", "")), 8) &amp; "*", 'Price list'!F:F, 0)), ""))</f>
        <v>95030020</v>
      </c>
      <c r="J30" s="10">
        <f>IF(ISBLANK(A30), 0, IF(G30=0, 0, ROUND(1 - (418.61 / G30), 5)))</f>
        <v>0.57240999999999997</v>
      </c>
      <c r="K30" s="9">
        <f t="shared" si="0"/>
        <v>560.39</v>
      </c>
      <c r="L30" s="9">
        <f t="shared" si="1"/>
        <v>418.61</v>
      </c>
      <c r="M30" t="str">
        <f t="shared" si="3"/>
        <v>✅ OK</v>
      </c>
    </row>
    <row r="31" spans="1:13" x14ac:dyDescent="0.35">
      <c r="A31" t="s">
        <v>78</v>
      </c>
      <c r="B31" t="s">
        <v>293</v>
      </c>
      <c r="C31">
        <v>1</v>
      </c>
      <c r="D31">
        <v>0</v>
      </c>
      <c r="E31">
        <v>1549</v>
      </c>
      <c r="F31" t="str">
        <f>IF(ISBLANK(A31), "", IFERROR(INDEX('Price list'!B:B, MATCH(LEFT(UPPER(SUBSTITUTE(A31, " ", "")), 8) &amp; "*", 'Price list'!F:F, 0)), ""))</f>
        <v>SMRT1165</v>
      </c>
      <c r="G31">
        <f>IF(ISBLANK(A31), "", IFERROR(INDEX('Price list'!C:C, MATCH(LEFT(UPPER(SUBSTITUTE(A31, " ", "")), 8) &amp; "*", 'Price list'!F:F, 0)), 0))</f>
        <v>1549</v>
      </c>
      <c r="H31">
        <f>IF(ISBLANK(A31), "", IFERROR(INDEX('Price list'!E:E, MATCH(LEFT(UPPER(SUBSTITUTE(A31, " ", "")), 8) &amp; "*", 'Price list'!F:F, 0)), 0))</f>
        <v>0.05</v>
      </c>
      <c r="I31">
        <f>IF(ISBLANK(A31), "", IFERROR(INDEX('Price list'!D:D, MATCH(LEFT(UPPER(SUBSTITUTE(A31, " ", "")), 8) &amp; "*", 'Price list'!F:F, 0)), ""))</f>
        <v>95030020</v>
      </c>
      <c r="J31" s="8">
        <f>IF(ISBLANK(A31), 0, IF(G31=0, 0, ROUND(1 - (706.63 / G31), 5)))</f>
        <v>0.54381999999999997</v>
      </c>
      <c r="K31">
        <f t="shared" si="0"/>
        <v>842.38</v>
      </c>
      <c r="L31">
        <f t="shared" si="1"/>
        <v>706.62</v>
      </c>
      <c r="M31" t="str">
        <f t="shared" si="3"/>
        <v>✅ OK</v>
      </c>
    </row>
    <row r="32" spans="1:13" x14ac:dyDescent="0.35">
      <c r="A32" s="9" t="s">
        <v>139</v>
      </c>
      <c r="B32" s="9" t="s">
        <v>294</v>
      </c>
      <c r="C32" s="9">
        <v>1</v>
      </c>
      <c r="D32" s="9">
        <v>0</v>
      </c>
      <c r="E32" s="9">
        <v>769</v>
      </c>
      <c r="F32" s="9" t="str">
        <f>IF(ISBLANK(A32), "", IFERROR(INDEX('Price list'!B:B, MATCH(LEFT(UPPER(SUBSTITUTE(A32, " ", "")), 8) &amp; "*", 'Price list'!F:F, 0)), ""))</f>
        <v>SMRT1277</v>
      </c>
      <c r="G32" s="9">
        <f>IF(ISBLANK(A32), "", IFERROR(INDEX('Price list'!C:C, MATCH(LEFT(UPPER(SUBSTITUTE(A32, " ", "")), 8) &amp; "*", 'Price list'!F:F, 0)), 0))</f>
        <v>769</v>
      </c>
      <c r="H32" s="9">
        <f>IF(ISBLANK(A32), "", IFERROR(INDEX('Price list'!E:E, MATCH(LEFT(UPPER(SUBSTITUTE(A32, " ", "")), 8) &amp; "*", 'Price list'!F:F, 0)), 0))</f>
        <v>0.05</v>
      </c>
      <c r="I32" s="9">
        <f>IF(ISBLANK(A32), "", IFERROR(INDEX('Price list'!D:D, MATCH(LEFT(UPPER(SUBSTITUTE(A32, " ", "")), 8) &amp; "*", 'Price list'!F:F, 0)), ""))</f>
        <v>95030020</v>
      </c>
      <c r="J32" s="10">
        <f>IF(ISBLANK(A32), 0, IF(G32=0, 0, ROUND(1 - (324.22 / G32), 5)))</f>
        <v>0.57838999999999996</v>
      </c>
      <c r="K32" s="9">
        <f t="shared" si="0"/>
        <v>444.78</v>
      </c>
      <c r="L32" s="9">
        <f t="shared" si="1"/>
        <v>324.22000000000003</v>
      </c>
      <c r="M32" t="str">
        <f t="shared" si="3"/>
        <v>✅ OK</v>
      </c>
    </row>
    <row r="33" spans="1:13" x14ac:dyDescent="0.35">
      <c r="A33" t="s">
        <v>165</v>
      </c>
      <c r="B33" t="s">
        <v>295</v>
      </c>
      <c r="C33">
        <v>1</v>
      </c>
      <c r="D33">
        <v>0</v>
      </c>
      <c r="E33">
        <v>799</v>
      </c>
      <c r="F33" t="str">
        <f>IF(ISBLANK(A33), "", IFERROR(INDEX('Price list'!B:B, MATCH(LEFT(UPPER(SUBSTITUTE(A33, " ", "")), 8) &amp; "*", 'Price list'!F:F, 0)), ""))</f>
        <v>SMRT1322</v>
      </c>
      <c r="G33">
        <f>IF(ISBLANK(A33), "", IFERROR(INDEX('Price list'!C:C, MATCH(LEFT(UPPER(SUBSTITUTE(A33, " ", "")), 8) &amp; "*", 'Price list'!F:F, 0)), 0))</f>
        <v>799</v>
      </c>
      <c r="H33">
        <f>IF(ISBLANK(A33), "", IFERROR(INDEX('Price list'!E:E, MATCH(LEFT(UPPER(SUBSTITUTE(A33, " ", "")), 8) &amp; "*", 'Price list'!F:F, 0)), 0))</f>
        <v>0.05</v>
      </c>
      <c r="I33">
        <f>IF(ISBLANK(A33), "", IFERROR(INDEX('Price list'!D:D, MATCH(LEFT(UPPER(SUBSTITUTE(A33, " ", "")), 8) &amp; "*", 'Price list'!F:F, 0)), ""))</f>
        <v>95030020</v>
      </c>
      <c r="J33" s="8">
        <f>IF(ISBLANK(A33), 0, IF(G33=0, 0, ROUND(1 - (369.56 / G33), 5)))</f>
        <v>0.53747</v>
      </c>
      <c r="K33">
        <f t="shared" si="0"/>
        <v>429.44</v>
      </c>
      <c r="L33">
        <f t="shared" si="1"/>
        <v>369.56</v>
      </c>
      <c r="M33" t="str">
        <f t="shared" si="3"/>
        <v>✅ OK</v>
      </c>
    </row>
    <row r="34" spans="1:13" x14ac:dyDescent="0.35">
      <c r="A34" s="9" t="s">
        <v>139</v>
      </c>
      <c r="B34" s="9" t="s">
        <v>294</v>
      </c>
      <c r="C34" s="9">
        <v>1</v>
      </c>
      <c r="D34" s="9">
        <v>0</v>
      </c>
      <c r="E34" s="9">
        <v>769</v>
      </c>
      <c r="F34" s="9" t="str">
        <f>IF(ISBLANK(A34), "", IFERROR(INDEX('Price list'!B:B, MATCH(LEFT(UPPER(SUBSTITUTE(A34, " ", "")), 8) &amp; "*", 'Price list'!F:F, 0)), ""))</f>
        <v>SMRT1277</v>
      </c>
      <c r="G34" s="9">
        <f>IF(ISBLANK(A34), "", IFERROR(INDEX('Price list'!C:C, MATCH(LEFT(UPPER(SUBSTITUTE(A34, " ", "")), 8) &amp; "*", 'Price list'!F:F, 0)), 0))</f>
        <v>769</v>
      </c>
      <c r="H34" s="9">
        <f>IF(ISBLANK(A34), "", IFERROR(INDEX('Price list'!E:E, MATCH(LEFT(UPPER(SUBSTITUTE(A34, " ", "")), 8) &amp; "*", 'Price list'!F:F, 0)), 0))</f>
        <v>0.05</v>
      </c>
      <c r="I34" s="9">
        <f>IF(ISBLANK(A34), "", IFERROR(INDEX('Price list'!D:D, MATCH(LEFT(UPPER(SUBSTITUTE(A34, " ", "")), 8) &amp; "*", 'Price list'!F:F, 0)), ""))</f>
        <v>95030020</v>
      </c>
      <c r="J34" s="10">
        <f>IF(ISBLANK(A34), 0, IF(G34=0, 0, ROUND(1 - (324.22 / G34), 5)))</f>
        <v>0.57838999999999996</v>
      </c>
      <c r="K34" s="9">
        <f t="shared" si="0"/>
        <v>444.78</v>
      </c>
      <c r="L34" s="9">
        <f t="shared" si="1"/>
        <v>324.22000000000003</v>
      </c>
      <c r="M34" t="str">
        <f t="shared" si="3"/>
        <v>✅ OK</v>
      </c>
    </row>
    <row r="35" spans="1:13" x14ac:dyDescent="0.35">
      <c r="A35" t="s">
        <v>160</v>
      </c>
      <c r="B35" t="s">
        <v>296</v>
      </c>
      <c r="C35">
        <v>1</v>
      </c>
      <c r="D35">
        <v>0</v>
      </c>
      <c r="E35">
        <v>669</v>
      </c>
      <c r="F35" t="str">
        <f>IF(ISBLANK(A35), "", IFERROR(INDEX('Price list'!B:B, MATCH(LEFT(UPPER(SUBSTITUTE(A35, " ", "")), 8) &amp; "*", 'Price list'!F:F, 0)), ""))</f>
        <v>SMRT1312</v>
      </c>
      <c r="G35">
        <f>IF(ISBLANK(A35), "", IFERROR(INDEX('Price list'!C:C, MATCH(LEFT(UPPER(SUBSTITUTE(A35, " ", "")), 8) &amp; "*", 'Price list'!F:F, 0)), 0))</f>
        <v>669</v>
      </c>
      <c r="H35">
        <f>IF(ISBLANK(A35), "", IFERROR(INDEX('Price list'!E:E, MATCH(LEFT(UPPER(SUBSTITUTE(A35, " ", "")), 8) &amp; "*", 'Price list'!F:F, 0)), 0))</f>
        <v>0.05</v>
      </c>
      <c r="I35">
        <f>IF(ISBLANK(A35), "", IFERROR(INDEX('Price list'!D:D, MATCH(LEFT(UPPER(SUBSTITUTE(A35, " ", "")), 8) &amp; "*", 'Price list'!F:F, 0)), ""))</f>
        <v>95030020</v>
      </c>
      <c r="J35" s="8">
        <f>IF(ISBLANK(A35), 0, IF(G35=0, 0, ROUND(1 - (313.77 / G35), 5)))</f>
        <v>0.53098999999999996</v>
      </c>
      <c r="K35">
        <f t="shared" si="0"/>
        <v>355.23</v>
      </c>
      <c r="L35">
        <f t="shared" si="1"/>
        <v>313.77</v>
      </c>
      <c r="M35" t="str">
        <f t="shared" si="3"/>
        <v>✅ OK</v>
      </c>
    </row>
    <row r="36" spans="1:13" x14ac:dyDescent="0.35">
      <c r="A36" s="9" t="s">
        <v>168</v>
      </c>
      <c r="B36" s="9" t="s">
        <v>297</v>
      </c>
      <c r="C36" s="9">
        <v>1</v>
      </c>
      <c r="D36" s="9">
        <v>0</v>
      </c>
      <c r="E36" s="9">
        <v>899</v>
      </c>
      <c r="F36" s="9" t="str">
        <f>IF(ISBLANK(A36), "", IFERROR(INDEX('Price list'!B:B, MATCH(LEFT(UPPER(SUBSTITUTE(A36, " ", "")), 8) &amp; "*", 'Price list'!F:F, 0)), ""))</f>
        <v>SMRT1325</v>
      </c>
      <c r="G36" s="9">
        <f>IF(ISBLANK(A36), "", IFERROR(INDEX('Price list'!C:C, MATCH(LEFT(UPPER(SUBSTITUTE(A36, " ", "")), 8) &amp; "*", 'Price list'!F:F, 0)), 0))</f>
        <v>899</v>
      </c>
      <c r="H36" s="9">
        <f>IF(ISBLANK(A36), "", IFERROR(INDEX('Price list'!E:E, MATCH(LEFT(UPPER(SUBSTITUTE(A36, " ", "")), 8) &amp; "*", 'Price list'!F:F, 0)), 0))</f>
        <v>0.05</v>
      </c>
      <c r="I36" s="9">
        <f>IF(ISBLANK(A36), "", IFERROR(INDEX('Price list'!D:D, MATCH(LEFT(UPPER(SUBSTITUTE(A36, " ", "")), 8) &amp; "*", 'Price list'!F:F, 0)), ""))</f>
        <v>95030020</v>
      </c>
      <c r="J36" s="10">
        <f>IF(ISBLANK(A36), 0, IF(G36=0, 0, ROUND(1 - (415.43 / G36), 5)))</f>
        <v>0.53790000000000004</v>
      </c>
      <c r="K36" s="9">
        <f t="shared" si="0"/>
        <v>483.57</v>
      </c>
      <c r="L36" s="9">
        <f t="shared" si="1"/>
        <v>415.43</v>
      </c>
      <c r="M36" t="str">
        <f t="shared" si="3"/>
        <v>✅ OK</v>
      </c>
    </row>
    <row r="37" spans="1:13" x14ac:dyDescent="0.35">
      <c r="A37" t="s">
        <v>160</v>
      </c>
      <c r="B37" t="s">
        <v>296</v>
      </c>
      <c r="C37">
        <v>1</v>
      </c>
      <c r="D37">
        <v>0</v>
      </c>
      <c r="E37">
        <v>669</v>
      </c>
      <c r="F37" t="str">
        <f>IF(ISBLANK(A37), "", IFERROR(INDEX('Price list'!B:B, MATCH(LEFT(UPPER(SUBSTITUTE(A37, " ", "")), 8) &amp; "*", 'Price list'!F:F, 0)), ""))</f>
        <v>SMRT1312</v>
      </c>
      <c r="G37">
        <f>IF(ISBLANK(A37), "", IFERROR(INDEX('Price list'!C:C, MATCH(LEFT(UPPER(SUBSTITUTE(A37, " ", "")), 8) &amp; "*", 'Price list'!F:F, 0)), 0))</f>
        <v>669</v>
      </c>
      <c r="H37">
        <f>IF(ISBLANK(A37), "", IFERROR(INDEX('Price list'!E:E, MATCH(LEFT(UPPER(SUBSTITUTE(A37, " ", "")), 8) &amp; "*", 'Price list'!F:F, 0)), 0))</f>
        <v>0.05</v>
      </c>
      <c r="I37">
        <f>IF(ISBLANK(A37), "", IFERROR(INDEX('Price list'!D:D, MATCH(LEFT(UPPER(SUBSTITUTE(A37, " ", "")), 8) &amp; "*", 'Price list'!F:F, 0)), ""))</f>
        <v>95030020</v>
      </c>
      <c r="J37" s="8">
        <f>IF(ISBLANK(A37), 0, IF(G37=0, 0, ROUND(1 - (313.77 / G37), 5)))</f>
        <v>0.53098999999999996</v>
      </c>
      <c r="K37">
        <f t="shared" si="0"/>
        <v>355.23</v>
      </c>
      <c r="L37">
        <f t="shared" si="1"/>
        <v>313.77</v>
      </c>
      <c r="M37" t="str">
        <f t="shared" si="3"/>
        <v>✅ OK</v>
      </c>
    </row>
    <row r="38" spans="1:13" x14ac:dyDescent="0.35">
      <c r="A38" s="9" t="s">
        <v>163</v>
      </c>
      <c r="B38" s="9" t="s">
        <v>282</v>
      </c>
      <c r="C38" s="9">
        <v>1</v>
      </c>
      <c r="D38" s="9">
        <v>0</v>
      </c>
      <c r="E38" s="9">
        <v>599</v>
      </c>
      <c r="F38" s="9" t="str">
        <f>IF(ISBLANK(A38), "", IFERROR(INDEX('Price list'!B:B, MATCH(LEFT(UPPER(SUBSTITUTE(A38, " ", "")), 8) &amp; "*", 'Price list'!F:F, 0)), ""))</f>
        <v>SMRT1320</v>
      </c>
      <c r="G38" s="9">
        <f>IF(ISBLANK(A38), "", IFERROR(INDEX('Price list'!C:C, MATCH(LEFT(UPPER(SUBSTITUTE(A38, " ", "")), 8) &amp; "*", 'Price list'!F:F, 0)), 0))</f>
        <v>599</v>
      </c>
      <c r="H38" s="9">
        <f>IF(ISBLANK(A38), "", IFERROR(INDEX('Price list'!E:E, MATCH(LEFT(UPPER(SUBSTITUTE(A38, " ", "")), 8) &amp; "*", 'Price list'!F:F, 0)), 0))</f>
        <v>0.05</v>
      </c>
      <c r="I38" s="9">
        <f>IF(ISBLANK(A38), "", IFERROR(INDEX('Price list'!D:D, MATCH(LEFT(UPPER(SUBSTITUTE(A38, " ", "")), 8) &amp; "*", 'Price list'!F:F, 0)), ""))</f>
        <v>95030020</v>
      </c>
      <c r="J38" s="10">
        <f>IF(ISBLANK(A38), 0, IF(G38=0, 0, ROUND(1 - (270.4 / G38), 5)))</f>
        <v>0.54857999999999996</v>
      </c>
      <c r="K38" s="9">
        <f t="shared" si="0"/>
        <v>328.6</v>
      </c>
      <c r="L38" s="9">
        <f t="shared" si="1"/>
        <v>270.39999999999998</v>
      </c>
      <c r="M38" t="str">
        <f t="shared" si="3"/>
        <v>✅ OK</v>
      </c>
    </row>
    <row r="39" spans="1:13" x14ac:dyDescent="0.35">
      <c r="A39" t="s">
        <v>172</v>
      </c>
      <c r="B39" t="s">
        <v>298</v>
      </c>
      <c r="C39">
        <v>1</v>
      </c>
      <c r="D39">
        <v>0</v>
      </c>
      <c r="E39">
        <v>699</v>
      </c>
      <c r="F39" t="str">
        <f>IF(ISBLANK(A39), "", IFERROR(INDEX('Price list'!B:B, MATCH(LEFT(UPPER(SUBSTITUTE(A39, " ", "")), 8) &amp; "*", 'Price list'!F:F, 0)), ""))</f>
        <v>SMRT1333</v>
      </c>
      <c r="G39">
        <f>IF(ISBLANK(A39), "", IFERROR(INDEX('Price list'!C:C, MATCH(LEFT(UPPER(SUBSTITUTE(A39, " ", "")), 8) &amp; "*", 'Price list'!F:F, 0)), 0))</f>
        <v>699</v>
      </c>
      <c r="H39">
        <f>IF(ISBLANK(A39), "", IFERROR(INDEX('Price list'!E:E, MATCH(LEFT(UPPER(SUBSTITUTE(A39, " ", "")), 8) &amp; "*", 'Price list'!F:F, 0)), 0))</f>
        <v>0.05</v>
      </c>
      <c r="I39">
        <f>IF(ISBLANK(A39), "", IFERROR(INDEX('Price list'!D:D, MATCH(LEFT(UPPER(SUBSTITUTE(A39, " ", "")), 8) &amp; "*", 'Price list'!F:F, 0)), ""))</f>
        <v>95030020</v>
      </c>
      <c r="J39" s="8">
        <f>IF(ISBLANK(A39), 0, IF(G39=0, 0, ROUND(1 - (337.95 / G39), 5)))</f>
        <v>0.51651999999999998</v>
      </c>
      <c r="K39">
        <f t="shared" si="0"/>
        <v>361.05</v>
      </c>
      <c r="L39">
        <f t="shared" si="1"/>
        <v>337.95</v>
      </c>
      <c r="M39" t="str">
        <f t="shared" si="3"/>
        <v>✅ OK</v>
      </c>
    </row>
    <row r="40" spans="1:13" x14ac:dyDescent="0.35">
      <c r="A40" s="9" t="s">
        <v>173</v>
      </c>
      <c r="B40" s="9" t="s">
        <v>286</v>
      </c>
      <c r="C40" s="9">
        <v>1</v>
      </c>
      <c r="D40" s="9">
        <v>0</v>
      </c>
      <c r="E40" s="9">
        <v>1149</v>
      </c>
      <c r="F40" s="9" t="str">
        <f>IF(ISBLANK(A40), "", IFERROR(INDEX('Price list'!B:B, MATCH(LEFT(UPPER(SUBSTITUTE(A40, " ", "")), 8) &amp; "*", 'Price list'!F:F, 0)), ""))</f>
        <v>SMRT1334</v>
      </c>
      <c r="G40" s="9">
        <f>IF(ISBLANK(A40), "", IFERROR(INDEX('Price list'!C:C, MATCH(LEFT(UPPER(SUBSTITUTE(A40, " ", "")), 8) &amp; "*", 'Price list'!F:F, 0)), 0))</f>
        <v>1149</v>
      </c>
      <c r="H40" s="9">
        <f>IF(ISBLANK(A40), "", IFERROR(INDEX('Price list'!E:E, MATCH(LEFT(UPPER(SUBSTITUTE(A40, " ", "")), 8) &amp; "*", 'Price list'!F:F, 0)), 0))</f>
        <v>0.05</v>
      </c>
      <c r="I40" s="9">
        <f>IF(ISBLANK(A40), "", IFERROR(INDEX('Price list'!D:D, MATCH(LEFT(UPPER(SUBSTITUTE(A40, " ", "")), 8) &amp; "*", 'Price list'!F:F, 0)), ""))</f>
        <v>95030020</v>
      </c>
      <c r="J40" s="10">
        <f>IF(ISBLANK(A40), 0, IF(G40=0, 0, ROUND(1 - (546 / G40), 5)))</f>
        <v>0.52480000000000004</v>
      </c>
      <c r="K40" s="9">
        <f t="shared" si="0"/>
        <v>603</v>
      </c>
      <c r="L40" s="9">
        <f t="shared" si="1"/>
        <v>546</v>
      </c>
      <c r="M40" t="str">
        <f t="shared" si="3"/>
        <v>✅ OK</v>
      </c>
    </row>
    <row r="41" spans="1:13" x14ac:dyDescent="0.35">
      <c r="A41" t="s">
        <v>166</v>
      </c>
      <c r="B41" t="s">
        <v>299</v>
      </c>
      <c r="C41">
        <v>1</v>
      </c>
      <c r="D41">
        <v>0</v>
      </c>
      <c r="E41">
        <v>1499</v>
      </c>
      <c r="F41" t="str">
        <f>IF(ISBLANK(A41), "", IFERROR(INDEX('Price list'!B:B, MATCH(LEFT(UPPER(SUBSTITUTE(A41, " ", "")), 8) &amp; "*", 'Price list'!F:F, 0)), ""))</f>
        <v>SMRT1323</v>
      </c>
      <c r="G41">
        <f>IF(ISBLANK(A41), "", IFERROR(INDEX('Price list'!C:C, MATCH(LEFT(UPPER(SUBSTITUTE(A41, " ", "")), 8) &amp; "*", 'Price list'!F:F, 0)), 0))</f>
        <v>1499</v>
      </c>
      <c r="H41">
        <f>IF(ISBLANK(A41), "", IFERROR(INDEX('Price list'!E:E, MATCH(LEFT(UPPER(SUBSTITUTE(A41, " ", "")), 8) &amp; "*", 'Price list'!F:F, 0)), 0))</f>
        <v>0.05</v>
      </c>
      <c r="I41">
        <f>IF(ISBLANK(A41), "", IFERROR(INDEX('Price list'!D:D, MATCH(LEFT(UPPER(SUBSTITUTE(A41, " ", "")), 8) &amp; "*", 'Price list'!F:F, 0)), ""))</f>
        <v>95030020</v>
      </c>
      <c r="J41" s="8">
        <f>IF(ISBLANK(A41), 0, IF(G41=0, 0, ROUND(1 - (717.11 / G41), 5)))</f>
        <v>0.52161000000000002</v>
      </c>
      <c r="K41">
        <f t="shared" si="0"/>
        <v>781.89</v>
      </c>
      <c r="L41">
        <f t="shared" si="1"/>
        <v>717.11</v>
      </c>
      <c r="M41" t="s">
        <v>300</v>
      </c>
    </row>
    <row r="42" spans="1:13" x14ac:dyDescent="0.35">
      <c r="A42" s="9" t="s">
        <v>165</v>
      </c>
      <c r="B42" s="9" t="s">
        <v>295</v>
      </c>
      <c r="C42" s="9">
        <v>1</v>
      </c>
      <c r="D42" s="9">
        <v>0</v>
      </c>
      <c r="E42" s="9">
        <v>799</v>
      </c>
      <c r="F42" s="9" t="str">
        <f>IF(ISBLANK(A42), "", IFERROR(INDEX('Price list'!B:B, MATCH(LEFT(UPPER(SUBSTITUTE(A42, " ", "")), 8) &amp; "*", 'Price list'!F:F, 0)), ""))</f>
        <v>SMRT1322</v>
      </c>
      <c r="G42" s="9">
        <f>IF(ISBLANK(A42), "", IFERROR(INDEX('Price list'!C:C, MATCH(LEFT(UPPER(SUBSTITUTE(A42, " ", "")), 8) &amp; "*", 'Price list'!F:F, 0)), 0))</f>
        <v>799</v>
      </c>
      <c r="H42" s="9">
        <f>IF(ISBLANK(A42), "", IFERROR(INDEX('Price list'!E:E, MATCH(LEFT(UPPER(SUBSTITUTE(A42, " ", "")), 8) &amp; "*", 'Price list'!F:F, 0)), 0))</f>
        <v>0.05</v>
      </c>
      <c r="I42" s="9">
        <f>IF(ISBLANK(A42), "", IFERROR(INDEX('Price list'!D:D, MATCH(LEFT(UPPER(SUBSTITUTE(A42, " ", "")), 8) &amp; "*", 'Price list'!F:F, 0)), ""))</f>
        <v>95030020</v>
      </c>
      <c r="J42" s="10">
        <f>IF(ISBLANK(A42), 0, IF(G42=0, 0, ROUND(1 - (369.56 / G42), 5)))</f>
        <v>0.53747</v>
      </c>
      <c r="K42" s="9">
        <f t="shared" si="0"/>
        <v>429.44</v>
      </c>
      <c r="L42" s="9">
        <f t="shared" si="1"/>
        <v>369.56</v>
      </c>
      <c r="M42" t="str">
        <f>IF(ISBLANK(A42), "", IF(F42="", "⚠️ SKU not found in Price List", IF(ROUND(E42,2)&lt;&gt;ROUND(G42,2), "⚠️ Price Mismatch! (PO: " &amp; TEXT(E42,"#,##0.00") &amp; ", List: " &amp; TEXT(G42,"#,##0.00") &amp; ")", "✅ OK")))</f>
        <v>✅ OK</v>
      </c>
    </row>
    <row r="43" spans="1:13" ht="15" thickBot="1" x14ac:dyDescent="0.4">
      <c r="A43" t="s">
        <v>75</v>
      </c>
      <c r="B43" t="s">
        <v>301</v>
      </c>
      <c r="C43">
        <v>1</v>
      </c>
      <c r="D43">
        <v>0</v>
      </c>
      <c r="E43">
        <v>1259</v>
      </c>
      <c r="F43" t="str">
        <f>IF(ISBLANK(A43), "", IFERROR(INDEX('Price list'!B:B, MATCH(LEFT(UPPER(SUBSTITUTE(A43, " ", "")), 8) &amp; "*", 'Price list'!F:F, 0)), ""))</f>
        <v>SMRT1139-18</v>
      </c>
      <c r="G43">
        <f>IF(ISBLANK(A43), "", IFERROR(INDEX('Price list'!C:C, MATCH(LEFT(UPPER(SUBSTITUTE(A43, " ", "")), 8) &amp; "*", 'Price list'!F:F, 0)), 0))</f>
        <v>1259</v>
      </c>
      <c r="H43">
        <f>IF(ISBLANK(A43), "", IFERROR(INDEX('Price list'!E:E, MATCH(LEFT(UPPER(SUBSTITUTE(A43, " ", "")), 8) &amp; "*", 'Price list'!F:F, 0)), 0))</f>
        <v>0.18</v>
      </c>
      <c r="I43">
        <f>IF(ISBLANK(A43), "", IFERROR(INDEX('Price list'!D:D, MATCH(LEFT(UPPER(SUBSTITUTE(A43, " ", "")), 8) &amp; "*", 'Price list'!F:F, 0)), ""))</f>
        <v>95030010</v>
      </c>
      <c r="J43" s="8">
        <f>IF(ISBLANK(A43), 0, IF(G43=0, 0, ROUND(1 - (465.17 / G43), 5)))</f>
        <v>0.63051999999999997</v>
      </c>
      <c r="K43">
        <f t="shared" si="0"/>
        <v>793.82</v>
      </c>
      <c r="L43">
        <f t="shared" si="1"/>
        <v>465.17999999999995</v>
      </c>
      <c r="M43" t="str">
        <f>IF(ISBLANK(A43), "", IF(F43="", "⚠️ SKU not found in Price List", IF(ROUND(E43,2)&lt;&gt;ROUND(G43,2), "⚠️ Price Mismatch! (PO: " &amp; TEXT(E43,"#,##0.00") &amp; ", List: " &amp; TEXT(G43,"#,##0.00") &amp; ")", "✅ OK")))</f>
        <v>✅ OK</v>
      </c>
    </row>
    <row r="44" spans="1:13" ht="17" thickBot="1" x14ac:dyDescent="0.5">
      <c r="A44" s="25" t="s">
        <v>302</v>
      </c>
      <c r="B44" s="25"/>
      <c r="C44" s="7">
        <f>SUM(C11:C43)</f>
        <v>34</v>
      </c>
      <c r="D44" s="7">
        <f>SUM(D11:D43)</f>
        <v>0</v>
      </c>
      <c r="E44" s="7"/>
      <c r="F44" s="7"/>
      <c r="G44" s="7"/>
      <c r="H44" s="7"/>
      <c r="I44" s="7"/>
      <c r="J44" s="7"/>
      <c r="K44" s="7">
        <f>SUM(K11:K43)</f>
        <v>16901.509999999998</v>
      </c>
      <c r="L44" s="7">
        <f>SUM(L11:L43)</f>
        <v>13734.49</v>
      </c>
    </row>
  </sheetData>
  <mergeCells count="12">
    <mergeCell ref="A44:B44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>
      <selection sqref="A1:M1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28" t="s">
        <v>253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</row>
    <row r="2" spans="1:13" ht="28" customHeight="1" x14ac:dyDescent="0.3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8" customHeight="1" x14ac:dyDescent="0.35"/>
    <row r="4" spans="1:13" ht="22" customHeight="1" x14ac:dyDescent="0.35">
      <c r="B4" s="5" t="s">
        <v>237</v>
      </c>
      <c r="C4" s="27"/>
      <c r="D4" s="27"/>
      <c r="E4" s="27"/>
      <c r="F4" s="27"/>
    </row>
    <row r="5" spans="1:13" ht="22" customHeight="1" x14ac:dyDescent="0.35">
      <c r="B5" s="5" t="s">
        <v>238</v>
      </c>
      <c r="C5" s="26"/>
      <c r="D5" s="26"/>
      <c r="E5" s="26"/>
      <c r="F5" s="26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5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5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5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5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5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5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5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5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5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5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5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5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5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5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5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5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5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5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5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5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5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5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5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5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5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5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5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5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5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5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5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5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5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5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5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5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5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5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5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5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5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5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5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5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5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5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5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5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5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5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5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5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5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5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5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5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5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5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5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5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5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5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5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5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5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5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5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5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5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5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5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5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5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5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5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5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5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5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5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5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5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5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5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5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5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5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5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5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5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"/>
  <sheetViews>
    <sheetView workbookViewId="0">
      <selection activeCell="I31" sqref="I31"/>
    </sheetView>
  </sheetViews>
  <sheetFormatPr defaultRowHeight="14.5" x14ac:dyDescent="0.35"/>
  <cols>
    <col min="1" max="1" width="13.453125" bestFit="1" customWidth="1"/>
  </cols>
  <sheetData>
    <row r="1" spans="1:11" x14ac:dyDescent="0.35">
      <c r="A1" t="s">
        <v>309</v>
      </c>
      <c r="B1" t="s">
        <v>264</v>
      </c>
      <c r="C1" t="s">
        <v>265</v>
      </c>
      <c r="D1" t="s">
        <v>2</v>
      </c>
      <c r="E1" t="s">
        <v>266</v>
      </c>
      <c r="F1" t="s">
        <v>267</v>
      </c>
      <c r="G1" t="s">
        <v>268</v>
      </c>
      <c r="H1" t="s">
        <v>269</v>
      </c>
      <c r="I1" t="s">
        <v>270</v>
      </c>
      <c r="J1" t="s">
        <v>271</v>
      </c>
      <c r="K1" t="s">
        <v>271</v>
      </c>
    </row>
  </sheetData>
  <conditionalFormatting sqref="A1:A1048576">
    <cfRule type="duplicateValues" dxfId="0" priority="1"/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workbookViewId="0">
      <selection activeCell="I185" sqref="I185"/>
    </sheetView>
  </sheetViews>
  <sheetFormatPr defaultRowHeight="14.5" x14ac:dyDescent="0.35"/>
  <cols>
    <col min="7" max="7" width="17.26953125" bestFit="1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5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5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5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5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5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5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5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5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5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5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5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5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5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5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5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5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5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5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5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5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5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5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5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5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5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5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5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5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5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5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5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5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5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5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5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5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5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5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5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5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5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5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5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5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5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5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5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5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5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5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5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5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5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5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5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5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5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5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5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5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5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5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5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5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5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5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5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5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5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5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5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5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5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5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5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5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5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5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5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5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5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5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5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5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5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5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5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5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5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5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5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5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5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5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5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5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5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5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5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5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5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5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5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5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5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5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5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5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5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5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5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5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5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5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5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5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5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5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5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5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5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5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5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5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5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5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5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5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5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5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5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5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5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5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5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5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5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5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5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5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5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5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5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5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5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5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5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5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5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5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5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5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5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5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5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5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5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5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5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5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5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5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5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5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5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5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5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5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5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5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5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5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5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5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5">
      <c r="A176">
        <v>176</v>
      </c>
      <c r="B176" t="s">
        <v>254</v>
      </c>
      <c r="C176">
        <v>999</v>
      </c>
      <c r="D176">
        <v>95030020</v>
      </c>
      <c r="E176">
        <v>0.05</v>
      </c>
      <c r="F176" t="s">
        <v>254</v>
      </c>
      <c r="G176">
        <v>8906187980659</v>
      </c>
    </row>
    <row r="177" spans="1:7" x14ac:dyDescent="0.35">
      <c r="A177">
        <v>177</v>
      </c>
      <c r="B177" t="s">
        <v>255</v>
      </c>
      <c r="C177">
        <v>699</v>
      </c>
      <c r="D177">
        <v>95030020</v>
      </c>
      <c r="E177">
        <v>0.05</v>
      </c>
      <c r="F177" t="s">
        <v>255</v>
      </c>
      <c r="G177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57"/>
  <sheetViews>
    <sheetView tabSelected="1" topLeftCell="B1" workbookViewId="0">
      <selection activeCell="E13" sqref="E13"/>
    </sheetView>
  </sheetViews>
  <sheetFormatPr defaultRowHeight="14.5" x14ac:dyDescent="0.35"/>
  <cols>
    <col min="1" max="2" width="42.90625" bestFit="1" customWidth="1"/>
    <col min="3" max="3" width="11" bestFit="1" customWidth="1"/>
    <col min="4" max="6" width="12" bestFit="1" customWidth="1"/>
  </cols>
  <sheetData>
    <row r="1" spans="1:6" x14ac:dyDescent="0.35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5">
      <c r="A2" t="s">
        <v>195</v>
      </c>
      <c r="B2" t="s">
        <v>195</v>
      </c>
      <c r="C2">
        <v>0.52380000000000004</v>
      </c>
      <c r="D2">
        <v>0</v>
      </c>
      <c r="E2">
        <v>0.57630000000000003</v>
      </c>
      <c r="F2">
        <v>0</v>
      </c>
    </row>
    <row r="3" spans="1:6" x14ac:dyDescent="0.35">
      <c r="A3" t="s">
        <v>196</v>
      </c>
      <c r="B3" t="s">
        <v>196</v>
      </c>
      <c r="C3">
        <v>0.47619</v>
      </c>
      <c r="D3">
        <v>0</v>
      </c>
      <c r="E3">
        <v>0.53389799999999998</v>
      </c>
      <c r="F3">
        <v>0</v>
      </c>
    </row>
    <row r="4" spans="1:6" x14ac:dyDescent="0.35">
      <c r="A4" t="s">
        <v>197</v>
      </c>
      <c r="B4" t="s">
        <v>197</v>
      </c>
      <c r="C4">
        <v>0.47619</v>
      </c>
      <c r="D4">
        <v>0</v>
      </c>
      <c r="E4">
        <v>0.53389799999999998</v>
      </c>
      <c r="F4">
        <v>0</v>
      </c>
    </row>
    <row r="5" spans="1:6" x14ac:dyDescent="0.35">
      <c r="A5" t="s">
        <v>198</v>
      </c>
      <c r="B5" t="s">
        <v>198</v>
      </c>
      <c r="C5">
        <v>0.47619</v>
      </c>
      <c r="D5">
        <v>0</v>
      </c>
      <c r="E5">
        <v>0.53389799999999998</v>
      </c>
      <c r="F5">
        <v>0</v>
      </c>
    </row>
    <row r="6" spans="1:6" x14ac:dyDescent="0.35">
      <c r="A6" t="s">
        <v>199</v>
      </c>
      <c r="B6" t="s">
        <v>199</v>
      </c>
      <c r="C6">
        <v>0.47619</v>
      </c>
      <c r="D6">
        <v>0</v>
      </c>
      <c r="E6">
        <v>0.53389799999999998</v>
      </c>
      <c r="F6">
        <v>0</v>
      </c>
    </row>
    <row r="7" spans="1:6" x14ac:dyDescent="0.35">
      <c r="A7" t="s">
        <v>200</v>
      </c>
      <c r="B7" t="s">
        <v>200</v>
      </c>
      <c r="C7">
        <v>0.47619</v>
      </c>
      <c r="D7">
        <v>0</v>
      </c>
      <c r="E7">
        <v>0.53389799999999998</v>
      </c>
      <c r="F7">
        <v>0</v>
      </c>
    </row>
    <row r="8" spans="1:6" x14ac:dyDescent="0.35">
      <c r="A8" t="s">
        <v>201</v>
      </c>
      <c r="B8" t="s">
        <v>201</v>
      </c>
      <c r="C8">
        <v>0.47619</v>
      </c>
      <c r="D8">
        <v>0</v>
      </c>
      <c r="E8">
        <v>0.53389799999999998</v>
      </c>
      <c r="F8">
        <v>0</v>
      </c>
    </row>
    <row r="9" spans="1:6" x14ac:dyDescent="0.35">
      <c r="A9" t="s">
        <v>202</v>
      </c>
      <c r="B9" t="s">
        <v>202</v>
      </c>
      <c r="C9">
        <v>0.47620000000000001</v>
      </c>
      <c r="D9">
        <v>0</v>
      </c>
      <c r="E9">
        <v>0.53390000000000004</v>
      </c>
      <c r="F9">
        <v>0</v>
      </c>
    </row>
    <row r="10" spans="1:6" x14ac:dyDescent="0.35">
      <c r="A10" t="s">
        <v>203</v>
      </c>
      <c r="B10" t="s">
        <v>203</v>
      </c>
      <c r="C10">
        <v>0.52380000000000004</v>
      </c>
      <c r="D10">
        <v>0</v>
      </c>
      <c r="E10">
        <v>0.57630000000000003</v>
      </c>
      <c r="F10">
        <v>0</v>
      </c>
    </row>
    <row r="11" spans="1:6" x14ac:dyDescent="0.35">
      <c r="A11" t="s">
        <v>204</v>
      </c>
      <c r="B11" t="s">
        <v>204</v>
      </c>
      <c r="C11">
        <v>0.47620000000000001</v>
      </c>
      <c r="D11">
        <v>0</v>
      </c>
      <c r="E11">
        <v>0.53390000000000004</v>
      </c>
      <c r="F11">
        <v>0</v>
      </c>
    </row>
    <row r="12" spans="1:6" x14ac:dyDescent="0.35">
      <c r="A12" t="s">
        <v>205</v>
      </c>
      <c r="B12" t="s">
        <v>205</v>
      </c>
      <c r="C12">
        <v>0.50470000000000004</v>
      </c>
      <c r="D12">
        <v>0</v>
      </c>
      <c r="E12">
        <v>0.55930000000000002</v>
      </c>
      <c r="F12">
        <v>0</v>
      </c>
    </row>
    <row r="13" spans="1:6" x14ac:dyDescent="0.35">
      <c r="A13" t="s">
        <v>206</v>
      </c>
      <c r="B13" t="s">
        <v>206</v>
      </c>
      <c r="C13">
        <v>0.47620000000000001</v>
      </c>
      <c r="D13">
        <v>0</v>
      </c>
      <c r="E13">
        <v>0.53390000000000004</v>
      </c>
      <c r="F13">
        <v>0</v>
      </c>
    </row>
    <row r="14" spans="1:6" x14ac:dyDescent="0.35">
      <c r="A14" t="s">
        <v>207</v>
      </c>
      <c r="B14" t="s">
        <v>207</v>
      </c>
      <c r="C14">
        <v>0.47620000000000001</v>
      </c>
      <c r="D14">
        <v>0</v>
      </c>
      <c r="E14">
        <v>0.53390000000000004</v>
      </c>
      <c r="F14">
        <v>0</v>
      </c>
    </row>
    <row r="15" spans="1:6" x14ac:dyDescent="0.35">
      <c r="A15" t="s">
        <v>208</v>
      </c>
      <c r="B15" t="s">
        <v>208</v>
      </c>
      <c r="C15">
        <v>0.52380000000000004</v>
      </c>
      <c r="D15">
        <v>0</v>
      </c>
      <c r="E15">
        <v>0.57630000000000003</v>
      </c>
      <c r="F15">
        <v>0</v>
      </c>
    </row>
    <row r="16" spans="1:6" x14ac:dyDescent="0.35">
      <c r="A16" t="s">
        <v>209</v>
      </c>
      <c r="B16" t="s">
        <v>209</v>
      </c>
      <c r="C16">
        <v>0.47620000000000001</v>
      </c>
      <c r="D16">
        <v>0</v>
      </c>
      <c r="E16">
        <v>0.53390000000000004</v>
      </c>
      <c r="F16">
        <v>0</v>
      </c>
    </row>
    <row r="17" spans="1:6" x14ac:dyDescent="0.35">
      <c r="A17" t="s">
        <v>210</v>
      </c>
      <c r="B17" t="s">
        <v>210</v>
      </c>
      <c r="C17">
        <v>0.47620000000000001</v>
      </c>
      <c r="D17">
        <v>0</v>
      </c>
      <c r="E17">
        <v>0.53390000000000004</v>
      </c>
      <c r="F17">
        <v>0</v>
      </c>
    </row>
    <row r="18" spans="1:6" x14ac:dyDescent="0.35">
      <c r="A18" t="s">
        <v>211</v>
      </c>
      <c r="B18" t="s">
        <v>211</v>
      </c>
      <c r="C18">
        <v>0.47620000000000001</v>
      </c>
      <c r="D18">
        <v>0</v>
      </c>
      <c r="E18">
        <v>0.53390000000000004</v>
      </c>
      <c r="F18">
        <v>0</v>
      </c>
    </row>
    <row r="19" spans="1:6" x14ac:dyDescent="0.35">
      <c r="A19" t="s">
        <v>212</v>
      </c>
      <c r="B19" t="s">
        <v>212</v>
      </c>
      <c r="C19">
        <v>0.52380000000000004</v>
      </c>
      <c r="D19">
        <v>0</v>
      </c>
      <c r="E19">
        <v>0.57630000000000003</v>
      </c>
      <c r="F19">
        <v>0</v>
      </c>
    </row>
    <row r="20" spans="1:6" x14ac:dyDescent="0.35">
      <c r="A20" t="s">
        <v>213</v>
      </c>
      <c r="B20" t="s">
        <v>213</v>
      </c>
      <c r="C20">
        <v>0.47620000000000001</v>
      </c>
      <c r="D20">
        <v>0</v>
      </c>
      <c r="E20">
        <v>0.53390000000000004</v>
      </c>
      <c r="F20">
        <v>0</v>
      </c>
    </row>
    <row r="21" spans="1:6" x14ac:dyDescent="0.35">
      <c r="A21" t="s">
        <v>215</v>
      </c>
      <c r="B21" t="s">
        <v>215</v>
      </c>
      <c r="C21">
        <v>0.52380000000000004</v>
      </c>
      <c r="D21">
        <v>0</v>
      </c>
      <c r="E21">
        <v>0.57630000000000003</v>
      </c>
      <c r="F21">
        <v>0</v>
      </c>
    </row>
    <row r="22" spans="1:6" x14ac:dyDescent="0.35">
      <c r="A22" t="s">
        <v>216</v>
      </c>
      <c r="B22" t="s">
        <v>216</v>
      </c>
      <c r="C22">
        <v>0.47620000000000001</v>
      </c>
      <c r="D22">
        <v>0</v>
      </c>
      <c r="E22">
        <v>0.53390000000000004</v>
      </c>
      <c r="F22">
        <v>0</v>
      </c>
    </row>
    <row r="23" spans="1:6" x14ac:dyDescent="0.35">
      <c r="A23" t="s">
        <v>217</v>
      </c>
      <c r="B23" t="s">
        <v>217</v>
      </c>
      <c r="C23">
        <v>0.52380000000000004</v>
      </c>
      <c r="D23">
        <v>0</v>
      </c>
      <c r="E23">
        <v>0.57630000000000003</v>
      </c>
      <c r="F23">
        <v>0</v>
      </c>
    </row>
    <row r="24" spans="1:6" x14ac:dyDescent="0.35">
      <c r="A24" t="s">
        <v>218</v>
      </c>
      <c r="B24" t="s">
        <v>218</v>
      </c>
      <c r="C24">
        <v>0.47620000000000001</v>
      </c>
      <c r="D24">
        <v>0</v>
      </c>
      <c r="E24">
        <v>0.53390000000000004</v>
      </c>
      <c r="F24">
        <v>0</v>
      </c>
    </row>
    <row r="25" spans="1:6" x14ac:dyDescent="0.35">
      <c r="A25" t="s">
        <v>219</v>
      </c>
      <c r="B25" t="s">
        <v>219</v>
      </c>
      <c r="C25">
        <v>0.47620000000000001</v>
      </c>
      <c r="D25">
        <v>0</v>
      </c>
      <c r="E25">
        <v>0.53390000000000004</v>
      </c>
      <c r="F25">
        <v>0</v>
      </c>
    </row>
    <row r="26" spans="1:6" x14ac:dyDescent="0.35">
      <c r="A26" t="s">
        <v>220</v>
      </c>
      <c r="B26" t="s">
        <v>220</v>
      </c>
      <c r="C26">
        <v>0.47620000000000001</v>
      </c>
      <c r="D26">
        <v>0</v>
      </c>
      <c r="E26">
        <v>0.53390000000000004</v>
      </c>
      <c r="F26">
        <v>0</v>
      </c>
    </row>
    <row r="27" spans="1:6" x14ac:dyDescent="0.35">
      <c r="A27" t="s">
        <v>221</v>
      </c>
      <c r="B27" t="s">
        <v>221</v>
      </c>
      <c r="C27">
        <v>0.47620000000000001</v>
      </c>
      <c r="D27">
        <v>0</v>
      </c>
      <c r="E27">
        <v>0.53390000000000004</v>
      </c>
      <c r="F27">
        <v>0</v>
      </c>
    </row>
    <row r="28" spans="1:6" x14ac:dyDescent="0.35">
      <c r="A28" t="s">
        <v>222</v>
      </c>
      <c r="B28" t="s">
        <v>222</v>
      </c>
      <c r="C28">
        <v>0.47620000000000001</v>
      </c>
      <c r="D28">
        <v>0</v>
      </c>
      <c r="E28">
        <v>0.53390000000000004</v>
      </c>
      <c r="F28">
        <v>0</v>
      </c>
    </row>
    <row r="29" spans="1:6" x14ac:dyDescent="0.35">
      <c r="A29" t="s">
        <v>223</v>
      </c>
      <c r="B29" t="s">
        <v>223</v>
      </c>
      <c r="C29">
        <v>0.47620000000000001</v>
      </c>
      <c r="D29">
        <v>0</v>
      </c>
      <c r="E29">
        <v>0.53390000000000004</v>
      </c>
      <c r="F29">
        <v>0</v>
      </c>
    </row>
    <row r="30" spans="1:6" x14ac:dyDescent="0.35">
      <c r="A30" t="s">
        <v>224</v>
      </c>
      <c r="B30" t="s">
        <v>224</v>
      </c>
      <c r="C30">
        <v>0.47620000000000001</v>
      </c>
      <c r="D30">
        <v>0</v>
      </c>
      <c r="E30">
        <v>0.53390000000000004</v>
      </c>
      <c r="F30">
        <v>0</v>
      </c>
    </row>
    <row r="31" spans="1:6" x14ac:dyDescent="0.35">
      <c r="A31" t="s">
        <v>225</v>
      </c>
      <c r="B31" t="s">
        <v>225</v>
      </c>
      <c r="C31">
        <v>0.47620000000000001</v>
      </c>
      <c r="D31">
        <v>0</v>
      </c>
      <c r="E31">
        <v>0.53390000000000004</v>
      </c>
      <c r="F31">
        <v>0</v>
      </c>
    </row>
    <row r="32" spans="1:6" x14ac:dyDescent="0.35">
      <c r="A32" t="s">
        <v>226</v>
      </c>
      <c r="B32" t="s">
        <v>226</v>
      </c>
      <c r="C32">
        <v>0.47620000000000001</v>
      </c>
      <c r="D32">
        <v>0</v>
      </c>
      <c r="E32">
        <v>0.53390000000000004</v>
      </c>
      <c r="F32">
        <v>0</v>
      </c>
    </row>
    <row r="33" spans="1:6" x14ac:dyDescent="0.35">
      <c r="A33" t="s">
        <v>227</v>
      </c>
      <c r="B33" t="s">
        <v>227</v>
      </c>
      <c r="C33">
        <v>0.49719999999999998</v>
      </c>
      <c r="D33">
        <v>0</v>
      </c>
      <c r="E33">
        <v>0.57440000000000002</v>
      </c>
      <c r="F33">
        <v>0</v>
      </c>
    </row>
    <row r="34" spans="1:6" x14ac:dyDescent="0.35">
      <c r="A34" t="s">
        <v>228</v>
      </c>
      <c r="B34" t="s">
        <v>228</v>
      </c>
      <c r="C34">
        <v>0.47620000000000001</v>
      </c>
      <c r="D34">
        <v>0</v>
      </c>
      <c r="E34">
        <v>0.53390000000000004</v>
      </c>
      <c r="F34">
        <v>0</v>
      </c>
    </row>
    <row r="35" spans="1:6" x14ac:dyDescent="0.35">
      <c r="A35" t="s">
        <v>229</v>
      </c>
      <c r="B35" t="s">
        <v>229</v>
      </c>
      <c r="C35">
        <v>0.52380000000000004</v>
      </c>
      <c r="D35">
        <v>0</v>
      </c>
      <c r="E35">
        <v>0.57630000000000003</v>
      </c>
      <c r="F35">
        <v>0</v>
      </c>
    </row>
    <row r="36" spans="1:6" x14ac:dyDescent="0.35">
      <c r="A36" t="s">
        <v>230</v>
      </c>
      <c r="B36" t="s">
        <v>230</v>
      </c>
      <c r="C36">
        <v>0.47620000000000001</v>
      </c>
      <c r="D36">
        <v>0</v>
      </c>
      <c r="E36">
        <v>0.53390000000000004</v>
      </c>
      <c r="F36">
        <v>0</v>
      </c>
    </row>
    <row r="37" spans="1:6" x14ac:dyDescent="0.35">
      <c r="A37" t="s">
        <v>231</v>
      </c>
      <c r="B37" t="s">
        <v>231</v>
      </c>
      <c r="C37">
        <v>0.47620000000000001</v>
      </c>
      <c r="D37">
        <v>0</v>
      </c>
      <c r="E37">
        <v>0.53390000000000004</v>
      </c>
      <c r="F37">
        <v>0</v>
      </c>
    </row>
    <row r="38" spans="1:6" x14ac:dyDescent="0.35">
      <c r="A38" t="s">
        <v>232</v>
      </c>
      <c r="B38" t="s">
        <v>232</v>
      </c>
      <c r="C38">
        <v>0.52380000000000004</v>
      </c>
      <c r="D38">
        <v>0</v>
      </c>
      <c r="E38">
        <v>0.57630000000000003</v>
      </c>
      <c r="F38">
        <v>0</v>
      </c>
    </row>
    <row r="39" spans="1:6" x14ac:dyDescent="0.35">
      <c r="A39" t="s">
        <v>233</v>
      </c>
      <c r="B39" t="s">
        <v>233</v>
      </c>
      <c r="C39">
        <v>0.4738</v>
      </c>
      <c r="D39">
        <v>0</v>
      </c>
      <c r="E39">
        <v>0.53180000000000005</v>
      </c>
      <c r="F39">
        <v>0</v>
      </c>
    </row>
    <row r="40" spans="1:6" x14ac:dyDescent="0.35">
      <c r="A40" t="s">
        <v>234</v>
      </c>
      <c r="B40" t="s">
        <v>234</v>
      </c>
      <c r="C40">
        <v>0.43080000000000002</v>
      </c>
      <c r="D40">
        <v>0</v>
      </c>
      <c r="E40">
        <v>0.50719999999999998</v>
      </c>
      <c r="F40">
        <v>0</v>
      </c>
    </row>
    <row r="41" spans="1:6" x14ac:dyDescent="0.35">
      <c r="A41" t="s">
        <v>235</v>
      </c>
      <c r="B41" t="s">
        <v>235</v>
      </c>
      <c r="C41">
        <v>0.47620000000000001</v>
      </c>
      <c r="D41">
        <v>0</v>
      </c>
      <c r="E41">
        <v>0.53390000000000004</v>
      </c>
      <c r="F41">
        <v>0</v>
      </c>
    </row>
    <row r="42" spans="1:6" x14ac:dyDescent="0.35">
      <c r="A42" t="s">
        <v>236</v>
      </c>
      <c r="B42" t="s">
        <v>236</v>
      </c>
      <c r="C42">
        <v>0.47620000000000001</v>
      </c>
      <c r="D42">
        <v>0</v>
      </c>
      <c r="E42">
        <v>0.53390000000000004</v>
      </c>
      <c r="F42">
        <v>0</v>
      </c>
    </row>
    <row r="43" spans="1:6" x14ac:dyDescent="0.35">
      <c r="A43" t="s">
        <v>256</v>
      </c>
      <c r="B43" t="s">
        <v>256</v>
      </c>
      <c r="C43">
        <v>0.47620000000000001</v>
      </c>
      <c r="D43">
        <v>0</v>
      </c>
      <c r="E43">
        <v>0.53390000000000004</v>
      </c>
      <c r="F43">
        <v>0</v>
      </c>
    </row>
    <row r="44" spans="1:6" x14ac:dyDescent="0.35">
      <c r="A44" t="s">
        <v>257</v>
      </c>
      <c r="B44" t="s">
        <v>257</v>
      </c>
      <c r="C44">
        <v>0.42859999999999998</v>
      </c>
      <c r="D44">
        <v>0</v>
      </c>
      <c r="E44">
        <v>0.49149999999999999</v>
      </c>
      <c r="F44">
        <v>0</v>
      </c>
    </row>
    <row r="45" spans="1:6" x14ac:dyDescent="0.35">
      <c r="A45" t="s">
        <v>258</v>
      </c>
      <c r="B45" t="s">
        <v>258</v>
      </c>
      <c r="C45">
        <v>0.47620000000000001</v>
      </c>
      <c r="D45">
        <v>0</v>
      </c>
      <c r="E45">
        <v>0.53390000000000004</v>
      </c>
      <c r="F45">
        <v>0</v>
      </c>
    </row>
    <row r="46" spans="1:6" x14ac:dyDescent="0.35">
      <c r="A46" t="s">
        <v>272</v>
      </c>
      <c r="B46" t="s">
        <v>272</v>
      </c>
      <c r="C46">
        <v>0.42859999999999998</v>
      </c>
      <c r="D46">
        <v>0</v>
      </c>
      <c r="E46">
        <v>0.49149999999999999</v>
      </c>
      <c r="F46">
        <v>0</v>
      </c>
    </row>
    <row r="47" spans="1:6" x14ac:dyDescent="0.35">
      <c r="A47" t="s">
        <v>273</v>
      </c>
      <c r="B47" t="s">
        <v>273</v>
      </c>
      <c r="C47">
        <v>0.47620000000000001</v>
      </c>
      <c r="D47">
        <v>0</v>
      </c>
      <c r="E47">
        <v>0.53390000000000004</v>
      </c>
      <c r="F47">
        <v>0</v>
      </c>
    </row>
    <row r="48" spans="1:6" x14ac:dyDescent="0.35">
      <c r="A48" t="s">
        <v>274</v>
      </c>
      <c r="B48" t="s">
        <v>274</v>
      </c>
      <c r="C48">
        <v>0.47620000000000001</v>
      </c>
      <c r="D48">
        <v>0</v>
      </c>
      <c r="E48">
        <v>0.53390000000000004</v>
      </c>
      <c r="F48">
        <v>0</v>
      </c>
    </row>
    <row r="49" spans="1:6" x14ac:dyDescent="0.35">
      <c r="A49" t="s">
        <v>276</v>
      </c>
      <c r="B49" t="s">
        <v>276</v>
      </c>
      <c r="C49">
        <v>0.52380000000000004</v>
      </c>
      <c r="D49">
        <v>0</v>
      </c>
      <c r="E49">
        <v>0.57630000000000003</v>
      </c>
      <c r="F49">
        <v>0</v>
      </c>
    </row>
    <row r="50" spans="1:6" x14ac:dyDescent="0.35">
      <c r="A50" t="s">
        <v>303</v>
      </c>
      <c r="B50" t="s">
        <v>303</v>
      </c>
      <c r="C50">
        <v>0.47620000000000001</v>
      </c>
      <c r="D50">
        <v>0</v>
      </c>
      <c r="E50">
        <v>0.53390000000000004</v>
      </c>
      <c r="F50">
        <v>0</v>
      </c>
    </row>
    <row r="51" spans="1:6" x14ac:dyDescent="0.35">
      <c r="A51" t="s">
        <v>304</v>
      </c>
      <c r="B51" t="s">
        <v>304</v>
      </c>
      <c r="C51">
        <v>0.52380000000000004</v>
      </c>
      <c r="D51">
        <v>0</v>
      </c>
      <c r="E51">
        <v>0.57630000000000003</v>
      </c>
      <c r="F51">
        <v>0</v>
      </c>
    </row>
    <row r="52" spans="1:6" x14ac:dyDescent="0.35">
      <c r="A52" t="s">
        <v>305</v>
      </c>
      <c r="B52" t="s">
        <v>305</v>
      </c>
      <c r="C52">
        <v>0.42859999999999998</v>
      </c>
      <c r="D52">
        <v>0</v>
      </c>
      <c r="E52">
        <v>0.49149999999999999</v>
      </c>
      <c r="F52">
        <v>0</v>
      </c>
    </row>
    <row r="53" spans="1:6" x14ac:dyDescent="0.35">
      <c r="A53" t="s">
        <v>306</v>
      </c>
      <c r="B53" t="s">
        <v>306</v>
      </c>
      <c r="C53">
        <v>0.47620000000000001</v>
      </c>
      <c r="D53">
        <v>0</v>
      </c>
      <c r="E53">
        <v>0.53390000000000004</v>
      </c>
      <c r="F53">
        <v>0</v>
      </c>
    </row>
    <row r="54" spans="1:6" x14ac:dyDescent="0.35">
      <c r="A54" t="s">
        <v>307</v>
      </c>
      <c r="B54" t="s">
        <v>307</v>
      </c>
      <c r="C54">
        <v>0.47620000000000001</v>
      </c>
      <c r="D54">
        <v>0</v>
      </c>
      <c r="E54">
        <v>0.53390000000000004</v>
      </c>
      <c r="F54">
        <v>0</v>
      </c>
    </row>
    <row r="55" spans="1:6" x14ac:dyDescent="0.35">
      <c r="A55" t="s">
        <v>308</v>
      </c>
      <c r="B55" t="s">
        <v>308</v>
      </c>
      <c r="C55">
        <v>0.61899999999999999</v>
      </c>
      <c r="D55">
        <v>0</v>
      </c>
      <c r="E55">
        <v>0.66100000000000003</v>
      </c>
      <c r="F55">
        <v>0</v>
      </c>
    </row>
    <row r="56" spans="1:6" x14ac:dyDescent="0.35">
      <c r="A56" t="s">
        <v>214</v>
      </c>
      <c r="B56" t="s">
        <v>214</v>
      </c>
      <c r="C56">
        <v>0.47620000000000001</v>
      </c>
      <c r="D56">
        <v>0</v>
      </c>
      <c r="E56">
        <v>0.53390000000000004</v>
      </c>
      <c r="F56">
        <v>0</v>
      </c>
    </row>
    <row r="57" spans="1:6" x14ac:dyDescent="0.35">
      <c r="A57" t="s">
        <v>310</v>
      </c>
      <c r="B57" t="s">
        <v>310</v>
      </c>
      <c r="C57">
        <v>0.42859999999999998</v>
      </c>
      <c r="D57">
        <v>0</v>
      </c>
      <c r="E57">
        <v>0.49149999999999999</v>
      </c>
      <c r="F57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Jitender Kumar</cp:lastModifiedBy>
  <dcterms:created xsi:type="dcterms:W3CDTF">2026-08-17T07:54:12Z</dcterms:created>
  <dcterms:modified xsi:type="dcterms:W3CDTF">2026-09-15T10:30:40Z</dcterms:modified>
</cp:coreProperties>
</file>