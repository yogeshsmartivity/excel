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My Project\Excel\"/>
    </mc:Choice>
  </mc:AlternateContent>
  <xr:revisionPtr revIDLastSave="0" documentId="13_ncr:1_{AED8ACD7-CB06-480A-8778-6BB2A0A06FDE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7" i="1" l="1"/>
  <c r="C27" i="1"/>
  <c r="I26" i="1"/>
  <c r="H26" i="1"/>
  <c r="G26" i="1"/>
  <c r="F26" i="1"/>
  <c r="I25" i="1"/>
  <c r="H25" i="1"/>
  <c r="G25" i="1"/>
  <c r="F25" i="1"/>
  <c r="I24" i="1"/>
  <c r="H24" i="1"/>
  <c r="G24" i="1"/>
  <c r="F24" i="1"/>
  <c r="I23" i="1"/>
  <c r="H23" i="1"/>
  <c r="G23" i="1"/>
  <c r="K23" i="1" s="1"/>
  <c r="F23" i="1"/>
  <c r="I22" i="1"/>
  <c r="H22" i="1"/>
  <c r="G22" i="1"/>
  <c r="K22" i="1" s="1"/>
  <c r="L22" i="1" s="1"/>
  <c r="F22" i="1"/>
  <c r="I21" i="1"/>
  <c r="H21" i="1"/>
  <c r="G21" i="1"/>
  <c r="F21" i="1"/>
  <c r="I20" i="1"/>
  <c r="H20" i="1"/>
  <c r="G20" i="1"/>
  <c r="F20" i="1"/>
  <c r="I19" i="1"/>
  <c r="H19" i="1"/>
  <c r="G19" i="1"/>
  <c r="F19" i="1"/>
  <c r="I18" i="1"/>
  <c r="H18" i="1"/>
  <c r="G18" i="1"/>
  <c r="F18" i="1"/>
  <c r="I17" i="1"/>
  <c r="H17" i="1"/>
  <c r="G17" i="1"/>
  <c r="K17" i="1" s="1"/>
  <c r="F17" i="1"/>
  <c r="I16" i="1"/>
  <c r="H16" i="1"/>
  <c r="G16" i="1"/>
  <c r="F16" i="1"/>
  <c r="I15" i="1"/>
  <c r="H15" i="1"/>
  <c r="G15" i="1"/>
  <c r="F15" i="1"/>
  <c r="I14" i="1"/>
  <c r="H14" i="1"/>
  <c r="G14" i="1"/>
  <c r="F14" i="1"/>
  <c r="I13" i="1"/>
  <c r="H13" i="1"/>
  <c r="G13" i="1"/>
  <c r="F13" i="1"/>
  <c r="I12" i="1"/>
  <c r="H12" i="1"/>
  <c r="G12" i="1"/>
  <c r="F12" i="1"/>
  <c r="I11" i="1"/>
  <c r="H11" i="1"/>
  <c r="G11" i="1"/>
  <c r="F11" i="1"/>
  <c r="M12" i="1" l="1"/>
  <c r="M22" i="1"/>
  <c r="M24" i="1"/>
  <c r="M11" i="1"/>
  <c r="M13" i="1"/>
  <c r="M19" i="1"/>
  <c r="M21" i="1"/>
  <c r="K11" i="1"/>
  <c r="L11" i="1" s="1"/>
  <c r="L23" i="1"/>
  <c r="K21" i="1"/>
  <c r="L21" i="1" s="1"/>
  <c r="M14" i="1"/>
  <c r="M20" i="1"/>
  <c r="K16" i="1"/>
  <c r="L16" i="1" s="1"/>
  <c r="L17" i="1"/>
  <c r="M25" i="1"/>
  <c r="M18" i="1"/>
  <c r="K15" i="1"/>
  <c r="L15" i="1" s="1"/>
  <c r="M16" i="1"/>
  <c r="K20" i="1"/>
  <c r="L20" i="1" s="1"/>
  <c r="K26" i="1"/>
  <c r="L26" i="1" s="1"/>
  <c r="K14" i="1"/>
  <c r="L14" i="1" s="1"/>
  <c r="M17" i="1"/>
  <c r="K19" i="1"/>
  <c r="L19" i="1" s="1"/>
  <c r="M23" i="1"/>
  <c r="K25" i="1"/>
  <c r="L25" i="1" s="1"/>
  <c r="K18" i="1"/>
  <c r="L18" i="1" s="1"/>
  <c r="K24" i="1"/>
  <c r="L24" i="1" s="1"/>
  <c r="K13" i="1"/>
  <c r="L13" i="1" s="1"/>
  <c r="K12" i="1"/>
  <c r="L12" i="1" s="1"/>
  <c r="M15" i="1"/>
  <c r="M26" i="1"/>
  <c r="L27" i="1" l="1"/>
  <c r="K27" i="1"/>
</calcChain>
</file>

<file path=xl/sharedStrings.xml><?xml version="1.0" encoding="utf-8"?>
<sst xmlns="http://schemas.openxmlformats.org/spreadsheetml/2006/main" count="548" uniqueCount="276">
  <si>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</si>
  <si>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</si>
  <si>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</si>
  <si>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</si>
  <si>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</si>
  <si>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</si>
  <si>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</si>
  <si>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</si>
  <si>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</si>
  <si>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</si>
  <si>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</si>
  <si>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</si>
  <si>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</si>
  <si>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</si>
  <si>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</si>
  <si>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</si>
  <si>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</si>
  <si>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</si>
  <si>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</si>
  <si>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</si>
  <si>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</si>
  <si>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</si>
  <si>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</si>
  <si>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</si>
  <si>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</si>
  <si>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</si>
  <si>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</si>
  <si>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</si>
  <si>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</si>
  <si>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</si>
  <si>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</si>
  <si>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</si>
  <si>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</si>
  <si>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</si>
  <si>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</si>
  <si>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</si>
  <si>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</si>
  <si>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</si>
  <si>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</si>
  <si>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</si>
  <si>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</si>
  <si>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</si>
  <si>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</si>
  <si>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</si>
  <si>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</si>
  <si>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</si>
  <si>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</si>
  <si>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</si>
  <si>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</si>
  <si>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</si>
  <si>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</si>
  <si>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</si>
  <si>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</si>
  <si>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</si>
  <si>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</si>
  <si>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</si>
  <si>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</si>
  <si>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</si>
  <si>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</si>
  <si>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</si>
  <si>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</si>
  <si>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</si>
  <si>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</si>
  <si>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</si>
  <si>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</si>
  <si>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</si>
  <si>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</si>
  <si>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</si>
  <si>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</si>
  <si>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</si>
  <si>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</si>
  <si>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</si>
  <si>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</si>
  <si>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</si>
  <si>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</si>
  <si>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</si>
  <si>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</si>
  <si>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</si>
  <si>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</si>
  <si>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</si>
  <si>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</si>
  <si>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</si>
  <si>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</si>
  <si>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</si>
  <si>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</si>
  <si>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</si>
  <si>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</si>
  <si>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</si>
  <si>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</si>
  <si>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</si>
  <si>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</si>
  <si>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</si>
  <si>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</si>
  <si>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</si>
  <si>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</si>
  <si>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</si>
  <si>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</si>
  <si>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</si>
  <si>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</si>
  <si>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</si>
  <si>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</si>
  <si>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</si>
  <si>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</si>
  <si>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</si>
  <si>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</si>
  <si>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</si>
  <si>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</si>
  <si>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</si>
  <si>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</si>
  <si>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</si>
  <si>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</si>
  <si>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</si>
  <si>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</si>
  <si>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</si>
  <si>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</si>
  <si>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</si>
  <si>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</si>
  <si>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</si>
  <si>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</si>
  <si>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</si>
  <si>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</si>
  <si>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</si>
  <si>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</si>
  <si>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</si>
  <si>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</si>
  <si>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</si>
  <si>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</si>
  <si>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</si>
  <si>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</si>
  <si>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</si>
  <si>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</si>
  <si>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</si>
  <si>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</si>
  <si>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</si>
  <si>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</si>
  <si>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</si>
  <si>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</si>
  <si>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</si>
  <si>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</si>
  <si>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</si>
  <si>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</si>
  <si>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</si>
  <si>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</si>
  <si>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</si>
  <si>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</si>
  <si>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</si>
  <si>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</si>
  <si>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</si>
  <si>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</si>
  <si>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</si>
  <si>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</si>
  <si>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</si>
  <si>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</si>
  <si>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</si>
  <si>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</si>
  <si>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</si>
  <si>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</si>
  <si>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</si>
  <si>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</si>
  <si>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</si>
  <si>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</si>
  <si>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</si>
  <si>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</si>
  <si>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</si>
  <si>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</si>
  <si>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</si>
  <si>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</si>
  <si>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</si>
  <si>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</si>
  <si>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</si>
  <si>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</si>
  <si>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</si>
  <si>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</si>
  <si>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</si>
  <si>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</si>
  <si>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</si>
  <si>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</si>
  <si>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</si>
  <si>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</si>
  <si>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</si>
  <si>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</si>
  <si>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</si>
  <si>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</si>
  <si>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</si>
  <si>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</si>
  <si>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</si>
  <si>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</si>
  <si>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</si>
  <si>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</si>
  <si>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</si>
  <si>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</si>
  <si>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</si>
  <si>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</si>
  <si>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</si>
  <si>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</si>
  <si>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</si>
  <si>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</si>
  <si>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</si>
  <si>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</si>
  <si>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</si>
  <si>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</si>
  <si>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</si>
  <si>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</si>
  <si>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</si>
  <si>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</si>
  <si>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</si>
  <si>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</si>
  <si>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</si>
  <si>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</si>
  <si>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</si>
  <si>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</si>
  <si>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</si>
  <si>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</si>
  <si>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</si>
  <si>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</si>
  <si>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</si>
  <si>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</si>
  <si>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</si>
  <si>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</si>
  <si>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</si>
  <si>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</si>
  <si>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</si>
  <si>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</si>
  <si>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</si>
  <si>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</si>
  <si>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</si>
  <si>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</si>
  <si>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</si>
  <si>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</si>
  <si>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</si>
  <si>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</si>
  <si>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</si>
  <si>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</si>
  <si>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</si>
  <si>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</si>
  <si>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</si>
  <si>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</si>
  <si>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</si>
  <si>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</si>
  <si>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</si>
  <si>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</si>
  <si>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</si>
  <si>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</si>
  <si>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</si>
  <si>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</si>
  <si>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</si>
  <si>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</si>
  <si>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</si>
  <si>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</si>
  <si>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</si>
  <si>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</si>
  <si>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</si>
  <si>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</si>
  <si>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</si>
  <si>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</si>
  <si>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</si>
  <si>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SMRT1200</t>
  </si>
  <si>
    <t>HIMALAYA BOOK WORLD</t>
  </si>
  <si>
    <t>Himalya.pdf</t>
  </si>
  <si>
    <t>Multiplication Machine</t>
  </si>
  <si>
    <t>Smartivity Globetrotters</t>
  </si>
  <si>
    <t>Smartivity Space Shooters</t>
  </si>
  <si>
    <t>Electro Play Lab</t>
  </si>
  <si>
    <t>Magic of Science</t>
  </si>
  <si>
    <t>Rocket Launcher</t>
  </si>
  <si>
    <t>Mini Tennis</t>
  </si>
  <si>
    <t>Interactive Clock</t>
  </si>
  <si>
    <t>Ultimate Marble City</t>
  </si>
  <si>
    <t>Foil Magic - Creative Jewelry Studio</t>
  </si>
  <si>
    <t>WINDOW ART Dress-Up</t>
  </si>
  <si>
    <t>Foil Magic - Animal Wisdom Tales</t>
  </si>
  <si>
    <t>POKE 'N' CREATE - Princess Wonderland</t>
  </si>
  <si>
    <t>Little Princess Craft Box</t>
  </si>
  <si>
    <t>Yummy Dessert Craft Box</t>
  </si>
  <si>
    <t>SNIP 'N' STYLE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</si>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</sst>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12" fontId="0" fillId="0" borderId="0" xfId="0" applyNumberFormat="1"/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164" fontId="2" fillId="6" borderId="2" xfId="0" applyNumberFormat="1" applyFont="1" applyFill="1" applyBorder="1"/>
    <xf numFmtId="0" fontId="2" fillId="6" borderId="2" xfId="0" applyFont="1" applyFill="1" applyBorder="1"/>
    <xf numFmtId="10" fontId="2" fillId="6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100"/>
  <sheetViews>
    <sheetView tabSelected="1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0" t="s">
        <v>250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9" t="s">
        <v>257</v>
      </c>
      <c r="D4" s="9"/>
      <c r="E4" s="9"/>
      <c r="F4" s="9"/>
    </row>
    <row r="5" spans="1:13" ht="22.05" customHeight="1" x14ac:dyDescent="0.3">
      <c r="B5" s="5" t="s">
        <v>238</v>
      </c>
      <c r="C5" s="8" t="s">
        <v>258</v>
      </c>
      <c r="D5" s="8"/>
      <c r="E5" s="8"/>
      <c r="F5" s="8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A11" t="s">
        <v>55</v>
      </c>
      <c r="B11" t="s">
        <v>259</v>
      </c>
      <c r="C11" s="1">
        <v>1</v>
      </c>
      <c r="D11" s="1">
        <v>0</v>
      </c>
      <c r="E11" s="2">
        <v>529</v>
      </c>
      <c r="F11" t="str">
        <f>IF(ISBLANK(A11), "", IFERROR(INDEX('Price list'!B:B, MATCH(LEFT(UPPER(SUBSTITUTE(A11, " ", "")), 8) &amp; "*", 'Price list'!F:F, 0)), ""))</f>
        <v>SMRT1098</v>
      </c>
      <c r="G11" s="2">
        <f>IF(ISBLANK(A11), "", IFERROR(INDEX('Price list'!C:C, MATCH(LEFT(UPPER(SUBSTITUTE(A11, " ", "")), 8) &amp; "*", 'Price list'!F:F, 0)), 0))</f>
        <v>529</v>
      </c>
      <c r="H11" s="3">
        <f>IF(ISBLANK(A11), "", IFERROR(INDEX('Price list'!E:E, MATCH(LEFT(UPPER(SUBSTITUTE(A11, " ", "")), 8) &amp; "*", 'Price list'!F:F, 0)), 0))</f>
        <v>0.05</v>
      </c>
      <c r="I11" s="1">
        <f>IF(ISBLANK(A11), "", IFERROR(INDEX('Price list'!D:D, MATCH(LEFT(UPPER(SUBSTITUTE(A11, " ", "")), 8) &amp; "*", 'Price list'!F:F, 0)), ""))</f>
        <v>95030020</v>
      </c>
      <c r="J11" s="3"/>
      <c r="K11" s="2">
        <f>IF(ISBLANK(A11), "", ROUND(G11*C11*J11,2))</f>
        <v>0</v>
      </c>
      <c r="L11" s="2">
        <f>IF(ISBLANK(A11), "", (G11*C11)-K11)</f>
        <v>529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">
      <c r="A12" t="s">
        <v>78</v>
      </c>
      <c r="B12" t="s">
        <v>260</v>
      </c>
      <c r="C12" s="1">
        <v>2</v>
      </c>
      <c r="D12" s="1">
        <v>0</v>
      </c>
      <c r="E12" s="2">
        <v>1549</v>
      </c>
      <c r="F12" t="str">
        <f>IF(ISBLANK(A12), "", IFERROR(INDEX('Price list'!B:B, MATCH(LEFT(UPPER(SUBSTITUTE(A12, " ", "")), 8) &amp; "*", 'Price list'!F:F, 0)), ""))</f>
        <v>SMRT1165</v>
      </c>
      <c r="G12" s="2">
        <f>IF(ISBLANK(A12), "", IFERROR(INDEX('Price list'!C:C, MATCH(LEFT(UPPER(SUBSTITUTE(A12, " ", "")), 8) &amp; "*", 'Price list'!F:F, 0)), 0))</f>
        <v>1549</v>
      </c>
      <c r="H12" s="3">
        <f>IF(ISBLANK(A12), "", IFERROR(INDEX('Price list'!E:E, MATCH(LEFT(UPPER(SUBSTITUTE(A12, " ", "")), 8) &amp; "*", 'Price list'!F:F, 0)), 0))</f>
        <v>0.05</v>
      </c>
      <c r="I12" s="1">
        <f>IF(ISBLANK(A12), "", IFERROR(INDEX('Price list'!D:D, MATCH(LEFT(UPPER(SUBSTITUTE(A12, " ", "")), 8) &amp; "*", 'Price list'!F:F, 0)), ""))</f>
        <v>95030020</v>
      </c>
      <c r="J12" s="3"/>
      <c r="K12" s="2">
        <f>IF(ISBLANK(A12), "", ROUND(G12*C12*J12,2))</f>
        <v>0</v>
      </c>
      <c r="L12" s="2">
        <f>IF(ISBLANK(A12), "", (G12*C12)-K12)</f>
        <v>3098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">
      <c r="A13" t="s">
        <v>91</v>
      </c>
      <c r="B13" t="s">
        <v>261</v>
      </c>
      <c r="C13" s="1">
        <v>2</v>
      </c>
      <c r="D13" s="1">
        <v>0</v>
      </c>
      <c r="E13" s="2">
        <v>1159</v>
      </c>
      <c r="F13" t="str">
        <f>IF(ISBLANK(A13), "", IFERROR(INDEX('Price list'!B:B, MATCH(LEFT(UPPER(SUBSTITUTE(A13, " ", "")), 8) &amp; "*", 'Price list'!F:F, 0)), ""))</f>
        <v>SMRT1184</v>
      </c>
      <c r="G13" s="2">
        <f>IF(ISBLANK(A13), "", IFERROR(INDEX('Price list'!C:C, MATCH(LEFT(UPPER(SUBSTITUTE(A13, " ", "")), 8) &amp; "*", 'Price list'!F:F, 0)), 0))</f>
        <v>1159</v>
      </c>
      <c r="H13" s="3">
        <f>IF(ISBLANK(A13), "", IFERROR(INDEX('Price list'!E:E, MATCH(LEFT(UPPER(SUBSTITUTE(A13, " ", "")), 8) &amp; "*", 'Price list'!F:F, 0)), 0))</f>
        <v>0.05</v>
      </c>
      <c r="I13" s="1">
        <f>IF(ISBLANK(A13), "", IFERROR(INDEX('Price list'!D:D, MATCH(LEFT(UPPER(SUBSTITUTE(A13, " ", "")), 8) &amp; "*", 'Price list'!F:F, 0)), ""))</f>
        <v>95030020</v>
      </c>
      <c r="J13" s="3"/>
      <c r="K13" s="2">
        <f>IF(ISBLANK(A13), "", ROUND(G13*C13*J13,2))</f>
        <v>0</v>
      </c>
      <c r="L13" s="2">
        <f>IF(ISBLANK(A13), "", (G13*C13)-K13)</f>
        <v>2318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">
      <c r="A14" t="s">
        <v>106</v>
      </c>
      <c r="B14" t="s">
        <v>262</v>
      </c>
      <c r="C14" s="1">
        <v>2</v>
      </c>
      <c r="D14" s="1">
        <v>0</v>
      </c>
      <c r="E14" s="2">
        <v>1399</v>
      </c>
      <c r="F14" t="str">
        <f>IF(ISBLANK(A14), "", IFERROR(INDEX('Price list'!B:B, MATCH(LEFT(UPPER(SUBSTITUTE(A14, " ", "")), 8) &amp; "*", 'Price list'!F:F, 0)), ""))</f>
        <v>SMRT1216</v>
      </c>
      <c r="G14" s="2">
        <f>IF(ISBLANK(A14), "", IFERROR(INDEX('Price list'!C:C, MATCH(LEFT(UPPER(SUBSTITUTE(A14, " ", "")), 8) &amp; "*", 'Price list'!F:F, 0)), 0))</f>
        <v>1399</v>
      </c>
      <c r="H14" s="3">
        <f>IF(ISBLANK(A14), "", IFERROR(INDEX('Price list'!E:E, MATCH(LEFT(UPPER(SUBSTITUTE(A14, " ", "")), 8) &amp; "*", 'Price list'!F:F, 0)), 0))</f>
        <v>0.18</v>
      </c>
      <c r="I14" s="1">
        <f>IF(ISBLANK(A14), "", IFERROR(INDEX('Price list'!D:D, MATCH(LEFT(UPPER(SUBSTITUTE(A14, " ", "")), 8) &amp; "*", 'Price list'!F:F, 0)), ""))</f>
        <v>95030010</v>
      </c>
      <c r="J14" s="3"/>
      <c r="K14" s="2">
        <f>IF(ISBLANK(A14), "", ROUND(G14*C14*J14,2))</f>
        <v>0</v>
      </c>
      <c r="L14" s="2">
        <f>IF(ISBLANK(A14), "", (G14*C14)-K14)</f>
        <v>2798</v>
      </c>
      <c r="M14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</row>
    <row r="15" spans="1:13" x14ac:dyDescent="0.3">
      <c r="A15" t="s">
        <v>115</v>
      </c>
      <c r="B15" t="s">
        <v>263</v>
      </c>
      <c r="C15" s="1">
        <v>1</v>
      </c>
      <c r="D15" s="1">
        <v>0</v>
      </c>
      <c r="E15" s="2">
        <v>1099</v>
      </c>
      <c r="F15" t="str">
        <f>IF(ISBLANK(A15), "", IFERROR(INDEX('Price list'!B:B, MATCH(LEFT(UPPER(SUBSTITUTE(A15, " ", "")), 8) &amp; "*", 'Price list'!F:F, 0)), ""))</f>
        <v>SMRT1230-18</v>
      </c>
      <c r="G15" s="2">
        <f>IF(ISBLANK(A15), "", IFERROR(INDEX('Price list'!C:C, MATCH(LEFT(UPPER(SUBSTITUTE(A15, " ", "")), 8) &amp; "*", 'Price list'!F:F, 0)), 0))</f>
        <v>1099</v>
      </c>
      <c r="H15" s="3">
        <f>IF(ISBLANK(A15), "", IFERROR(INDEX('Price list'!E:E, MATCH(LEFT(UPPER(SUBSTITUTE(A15, " ", "")), 8) &amp; "*", 'Price list'!F:F, 0)), 0))</f>
        <v>0.18</v>
      </c>
      <c r="I15" s="1">
        <f>IF(ISBLANK(A15), "", IFERROR(INDEX('Price list'!D:D, MATCH(LEFT(UPPER(SUBSTITUTE(A15, " ", "")), 8) &amp; "*", 'Price list'!F:F, 0)), ""))</f>
        <v>95030010</v>
      </c>
      <c r="J15" s="3"/>
      <c r="K15" s="2">
        <f>IF(ISBLANK(A15), "", ROUND(G15*C15*J15,2))</f>
        <v>0</v>
      </c>
      <c r="L15" s="2">
        <f>IF(ISBLANK(A15), "", (G15*C15)-K15)</f>
        <v>1099</v>
      </c>
      <c r="M15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">
      <c r="A16" t="s">
        <v>140</v>
      </c>
      <c r="B16" t="s">
        <v>264</v>
      </c>
      <c r="C16" s="1">
        <v>1</v>
      </c>
      <c r="D16" s="1">
        <v>0</v>
      </c>
      <c r="E16" s="2">
        <v>849</v>
      </c>
      <c r="F16" t="str">
        <f>IF(ISBLANK(A16), "", IFERROR(INDEX('Price list'!B:B, MATCH(LEFT(UPPER(SUBSTITUTE(A16, " ", "")), 8) &amp; "*", 'Price list'!F:F, 0)), ""))</f>
        <v>SMRT1279</v>
      </c>
      <c r="G16" s="2">
        <f>IF(ISBLANK(A16), "", IFERROR(INDEX('Price list'!C:C, MATCH(LEFT(UPPER(SUBSTITUTE(A16, " ", "")), 8) &amp; "*", 'Price list'!F:F, 0)), 0))</f>
        <v>849</v>
      </c>
      <c r="H16" s="3">
        <f>IF(ISBLANK(A16), "", IFERROR(INDEX('Price list'!E:E, MATCH(LEFT(UPPER(SUBSTITUTE(A16, " ", "")), 8) &amp; "*", 'Price list'!F:F, 0)), 0))</f>
        <v>0.05</v>
      </c>
      <c r="I16" s="1">
        <f>IF(ISBLANK(A16), "", IFERROR(INDEX('Price list'!D:D, MATCH(LEFT(UPPER(SUBSTITUTE(A16, " ", "")), 8) &amp; "*", 'Price list'!F:F, 0)), ""))</f>
        <v>95030020</v>
      </c>
      <c r="J16" s="3"/>
      <c r="K16" s="2">
        <f>IF(ISBLANK(A16), "", ROUND(G16*C16*J16,2))</f>
        <v>0</v>
      </c>
      <c r="L16" s="2">
        <f>IF(ISBLANK(A16), "", (G16*C16)-K16)</f>
        <v>849</v>
      </c>
      <c r="M16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</row>
    <row r="17" spans="1:13" x14ac:dyDescent="0.3">
      <c r="A17" t="s">
        <v>147</v>
      </c>
      <c r="B17" t="s">
        <v>265</v>
      </c>
      <c r="C17" s="1">
        <v>1</v>
      </c>
      <c r="D17" s="1">
        <v>0</v>
      </c>
      <c r="E17" s="2">
        <v>769</v>
      </c>
      <c r="F17" t="str">
        <f>IF(ISBLANK(A17), "", IFERROR(INDEX('Price list'!B:B, MATCH(LEFT(UPPER(SUBSTITUTE(A17, " ", "")), 8) &amp; "*", 'Price list'!F:F, 0)), ""))</f>
        <v>SMRT1293</v>
      </c>
      <c r="G17" s="2">
        <f>IF(ISBLANK(A17), "", IFERROR(INDEX('Price list'!C:C, MATCH(LEFT(UPPER(SUBSTITUTE(A17, " ", "")), 8) &amp; "*", 'Price list'!F:F, 0)), 0))</f>
        <v>769</v>
      </c>
      <c r="H17" s="3">
        <f>IF(ISBLANK(A17), "", IFERROR(INDEX('Price list'!E:E, MATCH(LEFT(UPPER(SUBSTITUTE(A17, " ", "")), 8) &amp; "*", 'Price list'!F:F, 0)), 0))</f>
        <v>0.05</v>
      </c>
      <c r="I17" s="1">
        <f>IF(ISBLANK(A17), "", IFERROR(INDEX('Price list'!D:D, MATCH(LEFT(UPPER(SUBSTITUTE(A17, " ", "")), 8) &amp; "*", 'Price list'!F:F, 0)), ""))</f>
        <v>95030020</v>
      </c>
      <c r="J17" s="3"/>
      <c r="K17" s="2">
        <f>IF(ISBLANK(A17), "", ROUND(G17*C17*J17,2))</f>
        <v>0</v>
      </c>
      <c r="L17" s="2">
        <f>IF(ISBLANK(A17), "", (G17*C17)-K17)</f>
        <v>769</v>
      </c>
      <c r="M17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</row>
    <row r="18" spans="1:13" x14ac:dyDescent="0.3">
      <c r="A18" t="s">
        <v>155</v>
      </c>
      <c r="B18" t="s">
        <v>266</v>
      </c>
      <c r="C18" s="1">
        <v>2</v>
      </c>
      <c r="D18" s="1">
        <v>0</v>
      </c>
      <c r="E18" s="2">
        <v>999</v>
      </c>
      <c r="F18" t="str">
        <f>IF(ISBLANK(A18), "", IFERROR(INDEX('Price list'!B:B, MATCH(LEFT(UPPER(SUBSTITUTE(A18, " ", "")), 8) &amp; "*", 'Price list'!F:F, 0)), ""))</f>
        <v>SMRT1302</v>
      </c>
      <c r="G18" s="2">
        <f>IF(ISBLANK(A18), "", IFERROR(INDEX('Price list'!C:C, MATCH(LEFT(UPPER(SUBSTITUTE(A18, " ", "")), 8) &amp; "*", 'Price list'!F:F, 0)), 0))</f>
        <v>999</v>
      </c>
      <c r="H18" s="3">
        <f>IF(ISBLANK(A18), "", IFERROR(INDEX('Price list'!E:E, MATCH(LEFT(UPPER(SUBSTITUTE(A18, " ", "")), 8) &amp; "*", 'Price list'!F:F, 0)), 0))</f>
        <v>0.18</v>
      </c>
      <c r="I18" s="1">
        <f>IF(ISBLANK(A18), "", IFERROR(INDEX('Price list'!D:D, MATCH(LEFT(UPPER(SUBSTITUTE(A18, " ", "")), 8) &amp; "*", 'Price list'!F:F, 0)), ""))</f>
        <v>95030010</v>
      </c>
      <c r="J18" s="3"/>
      <c r="K18" s="2">
        <f>IF(ISBLANK(A18), "", ROUND(G18*C18*J18,2))</f>
        <v>0</v>
      </c>
      <c r="L18" s="2">
        <f>IF(ISBLANK(A18), "", (G18*C18)-K18)</f>
        <v>1998</v>
      </c>
      <c r="M18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</row>
    <row r="19" spans="1:13" x14ac:dyDescent="0.3">
      <c r="A19" t="s">
        <v>166</v>
      </c>
      <c r="B19" t="s">
        <v>267</v>
      </c>
      <c r="C19" s="1">
        <v>2</v>
      </c>
      <c r="D19" s="1">
        <v>0</v>
      </c>
      <c r="E19" s="2">
        <v>1499</v>
      </c>
      <c r="F19" t="str">
        <f>IF(ISBLANK(A19), "", IFERROR(INDEX('Price list'!B:B, MATCH(LEFT(UPPER(SUBSTITUTE(A19, " ", "")), 8) &amp; "*", 'Price list'!F:F, 0)), ""))</f>
        <v>SMRT1323</v>
      </c>
      <c r="G19" s="2">
        <f>IF(ISBLANK(A19), "", IFERROR(INDEX('Price list'!C:C, MATCH(LEFT(UPPER(SUBSTITUTE(A19, " ", "")), 8) &amp; "*", 'Price list'!F:F, 0)), 0))</f>
        <v>1499</v>
      </c>
      <c r="H19" s="3">
        <f>IF(ISBLANK(A19), "", IFERROR(INDEX('Price list'!E:E, MATCH(LEFT(UPPER(SUBSTITUTE(A19, " ", "")), 8) &amp; "*", 'Price list'!F:F, 0)), 0))</f>
        <v>0.05</v>
      </c>
      <c r="I19" s="1">
        <f>IF(ISBLANK(A19), "", IFERROR(INDEX('Price list'!D:D, MATCH(LEFT(UPPER(SUBSTITUTE(A19, " ", "")), 8) &amp; "*", 'Price list'!F:F, 0)), ""))</f>
        <v>95030020</v>
      </c>
      <c r="J19" s="3"/>
      <c r="K19" s="2">
        <f>IF(ISBLANK(A19), "", ROUND(G19*C19*J19,2))</f>
        <v>0</v>
      </c>
      <c r="L19" s="2">
        <f>IF(ISBLANK(A19), "", (G19*C19)-K19)</f>
        <v>2998</v>
      </c>
      <c r="M19" t="str">
        <f>IF(ISBLANK(A19), "", IF(F19="", "⚠️ SKU not found in Price List", IF(ROUND(E19,2)&lt;&gt;ROUND(G19,2), "⚠️ Price Mismatch! (PO: " &amp; TEXT(E19,"#,##0.00") &amp; ", List: " &amp; TEXT(G19,"#,##0.00") &amp; ")", "✅ OK")))</f>
        <v>✅ OK</v>
      </c>
    </row>
    <row r="20" spans="1:13" x14ac:dyDescent="0.3">
      <c r="A20" t="s">
        <v>130</v>
      </c>
      <c r="B20" t="s">
        <v>268</v>
      </c>
      <c r="C20" s="1">
        <v>1</v>
      </c>
      <c r="D20" s="1">
        <v>0</v>
      </c>
      <c r="E20" s="2">
        <v>669</v>
      </c>
      <c r="F20" t="str">
        <f>IF(ISBLANK(A20), "", IFERROR(INDEX('Price list'!B:B, MATCH(LEFT(UPPER(SUBSTITUTE(A20, " ", "")), 8) &amp; "*", 'Price list'!F:F, 0)), ""))</f>
        <v>SMRT1268</v>
      </c>
      <c r="G20" s="2">
        <f>IF(ISBLANK(A20), "", IFERROR(INDEX('Price list'!C:C, MATCH(LEFT(UPPER(SUBSTITUTE(A20, " ", "")), 8) &amp; "*", 'Price list'!F:F, 0)), 0))</f>
        <v>669</v>
      </c>
      <c r="H20" s="3">
        <f>IF(ISBLANK(A20), "", IFERROR(INDEX('Price list'!E:E, MATCH(LEFT(UPPER(SUBSTITUTE(A20, " ", "")), 8) &amp; "*", 'Price list'!F:F, 0)), 0))</f>
        <v>0.05</v>
      </c>
      <c r="I20" s="1">
        <f>IF(ISBLANK(A20), "", IFERROR(INDEX('Price list'!D:D, MATCH(LEFT(UPPER(SUBSTITUTE(A20, " ", "")), 8) &amp; "*", 'Price list'!F:F, 0)), ""))</f>
        <v>95030020</v>
      </c>
      <c r="J20" s="3"/>
      <c r="K20" s="2">
        <f>IF(ISBLANK(A20), "", ROUND(G20*C20*J20,2))</f>
        <v>0</v>
      </c>
      <c r="L20" s="2">
        <f>IF(ISBLANK(A20), "", (G20*C20)-K20)</f>
        <v>669</v>
      </c>
      <c r="M20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</row>
    <row r="21" spans="1:13" x14ac:dyDescent="0.3">
      <c r="A21" t="s">
        <v>132</v>
      </c>
      <c r="B21" t="s">
        <v>269</v>
      </c>
      <c r="C21" s="1">
        <v>1</v>
      </c>
      <c r="D21" s="1">
        <v>0</v>
      </c>
      <c r="E21" s="2">
        <v>769</v>
      </c>
      <c r="F21" t="str">
        <f>IF(ISBLANK(A21), "", IFERROR(INDEX('Price list'!B:B, MATCH(LEFT(UPPER(SUBSTITUTE(A21, " ", "")), 8) &amp; "*", 'Price list'!F:F, 0)), ""))</f>
        <v>SMRT1270</v>
      </c>
      <c r="G21" s="2">
        <f>IF(ISBLANK(A21), "", IFERROR(INDEX('Price list'!C:C, MATCH(LEFT(UPPER(SUBSTITUTE(A21, " ", "")), 8) &amp; "*", 'Price list'!F:F, 0)), 0))</f>
        <v>769</v>
      </c>
      <c r="H21" s="3">
        <f>IF(ISBLANK(A21), "", IFERROR(INDEX('Price list'!E:E, MATCH(LEFT(UPPER(SUBSTITUTE(A21, " ", "")), 8) &amp; "*", 'Price list'!F:F, 0)), 0))</f>
        <v>0.05</v>
      </c>
      <c r="I21" s="1">
        <f>IF(ISBLANK(A21), "", IFERROR(INDEX('Price list'!D:D, MATCH(LEFT(UPPER(SUBSTITUTE(A21, " ", "")), 8) &amp; "*", 'Price list'!F:F, 0)), ""))</f>
        <v>95030020</v>
      </c>
      <c r="J21" s="3"/>
      <c r="K21" s="2">
        <f>IF(ISBLANK(A21), "", ROUND(G21*C21*J21,2))</f>
        <v>0</v>
      </c>
      <c r="L21" s="2">
        <f>IF(ISBLANK(A21), "", (G21*C21)-K21)</f>
        <v>769</v>
      </c>
      <c r="M21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</row>
    <row r="22" spans="1:13" x14ac:dyDescent="0.3">
      <c r="A22" t="s">
        <v>136</v>
      </c>
      <c r="B22" t="s">
        <v>270</v>
      </c>
      <c r="C22" s="1">
        <v>1</v>
      </c>
      <c r="D22" s="1">
        <v>0</v>
      </c>
      <c r="E22" s="2">
        <v>869</v>
      </c>
      <c r="F22" t="str">
        <f>IF(ISBLANK(A22), "", IFERROR(INDEX('Price list'!B:B, MATCH(LEFT(UPPER(SUBSTITUTE(A22, " ", "")), 8) &amp; "*", 'Price list'!F:F, 0)), ""))</f>
        <v>SMRT1274</v>
      </c>
      <c r="G22" s="2">
        <f>IF(ISBLANK(A22), "", IFERROR(INDEX('Price list'!C:C, MATCH(LEFT(UPPER(SUBSTITUTE(A22, " ", "")), 8) &amp; "*", 'Price list'!F:F, 0)), 0))</f>
        <v>869</v>
      </c>
      <c r="H22" s="3">
        <f>IF(ISBLANK(A22), "", IFERROR(INDEX('Price list'!E:E, MATCH(LEFT(UPPER(SUBSTITUTE(A22, " ", "")), 8) &amp; "*", 'Price list'!F:F, 0)), 0))</f>
        <v>0.05</v>
      </c>
      <c r="I22" s="1">
        <f>IF(ISBLANK(A22), "", IFERROR(INDEX('Price list'!D:D, MATCH(LEFT(UPPER(SUBSTITUTE(A22, " ", "")), 8) &amp; "*", 'Price list'!F:F, 0)), ""))</f>
        <v>95030020</v>
      </c>
      <c r="J22" s="3"/>
      <c r="K22" s="2">
        <f>IF(ISBLANK(A22), "", ROUND(G22*C22*J22,2))</f>
        <v>0</v>
      </c>
      <c r="L22" s="2">
        <f>IF(ISBLANK(A22), "", (G22*C22)-K22)</f>
        <v>869</v>
      </c>
      <c r="M22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</row>
    <row r="23" spans="1:13" x14ac:dyDescent="0.3">
      <c r="A23" t="s">
        <v>151</v>
      </c>
      <c r="B23" t="s">
        <v>271</v>
      </c>
      <c r="C23" s="1">
        <v>1</v>
      </c>
      <c r="D23" s="1">
        <v>0</v>
      </c>
      <c r="E23" s="2">
        <v>799</v>
      </c>
      <c r="F23" t="str">
        <f>IF(ISBLANK(A23), "", IFERROR(INDEX('Price list'!B:B, MATCH(LEFT(UPPER(SUBSTITUTE(A23, " ", "")), 8) &amp; "*", 'Price list'!F:F, 0)), ""))</f>
        <v>SMRT1298</v>
      </c>
      <c r="G23" s="2">
        <f>IF(ISBLANK(A23), "", IFERROR(INDEX('Price list'!C:C, MATCH(LEFT(UPPER(SUBSTITUTE(A23, " ", "")), 8) &amp; "*", 'Price list'!F:F, 0)), 0))</f>
        <v>799</v>
      </c>
      <c r="H23" s="3">
        <f>IF(ISBLANK(A23), "", IFERROR(INDEX('Price list'!E:E, MATCH(LEFT(UPPER(SUBSTITUTE(A23, " ", "")), 8) &amp; "*", 'Price list'!F:F, 0)), 0))</f>
        <v>0.05</v>
      </c>
      <c r="I23" s="1">
        <f>IF(ISBLANK(A23), "", IFERROR(INDEX('Price list'!D:D, MATCH(LEFT(UPPER(SUBSTITUTE(A23, " ", "")), 8) &amp; "*", 'Price list'!F:F, 0)), ""))</f>
        <v>95030020</v>
      </c>
      <c r="J23" s="3"/>
      <c r="K23" s="2">
        <f>IF(ISBLANK(A23), "", ROUND(G23*C23*J23,2))</f>
        <v>0</v>
      </c>
      <c r="L23" s="2">
        <f>IF(ISBLANK(A23), "", (G23*C23)-K23)</f>
        <v>799</v>
      </c>
      <c r="M23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</row>
    <row r="24" spans="1:13" x14ac:dyDescent="0.3">
      <c r="A24" t="s">
        <v>161</v>
      </c>
      <c r="B24" t="s">
        <v>272</v>
      </c>
      <c r="C24" s="1">
        <v>1</v>
      </c>
      <c r="D24" s="1">
        <v>0</v>
      </c>
      <c r="E24" s="2">
        <v>549</v>
      </c>
      <c r="F24" t="str">
        <f>IF(ISBLANK(A24), "", IFERROR(INDEX('Price list'!B:B, MATCH(LEFT(UPPER(SUBSTITUTE(A24, " ", "")), 8) &amp; "*", 'Price list'!F:F, 0)), ""))</f>
        <v>SMRT1313</v>
      </c>
      <c r="G24" s="2">
        <f>IF(ISBLANK(A24), "", IFERROR(INDEX('Price list'!C:C, MATCH(LEFT(UPPER(SUBSTITUTE(A24, " ", "")), 8) &amp; "*", 'Price list'!F:F, 0)), 0))</f>
        <v>549</v>
      </c>
      <c r="H24" s="3">
        <f>IF(ISBLANK(A24), "", IFERROR(INDEX('Price list'!E:E, MATCH(LEFT(UPPER(SUBSTITUTE(A24, " ", "")), 8) &amp; "*", 'Price list'!F:F, 0)), 0))</f>
        <v>0.05</v>
      </c>
      <c r="I24" s="1">
        <f>IF(ISBLANK(A24), "", IFERROR(INDEX('Price list'!D:D, MATCH(LEFT(UPPER(SUBSTITUTE(A24, " ", "")), 8) &amp; "*", 'Price list'!F:F, 0)), ""))</f>
        <v>95030020</v>
      </c>
      <c r="J24" s="3"/>
      <c r="K24" s="2">
        <f>IF(ISBLANK(A24), "", ROUND(G24*C24*J24,2))</f>
        <v>0</v>
      </c>
      <c r="L24" s="2">
        <f>IF(ISBLANK(A24), "", (G24*C24)-K24)</f>
        <v>549</v>
      </c>
      <c r="M24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</row>
    <row r="25" spans="1:13" x14ac:dyDescent="0.3">
      <c r="A25" t="s">
        <v>169</v>
      </c>
      <c r="B25" t="s">
        <v>273</v>
      </c>
      <c r="C25" s="1">
        <v>1</v>
      </c>
      <c r="D25" s="1">
        <v>0</v>
      </c>
      <c r="E25" s="2">
        <v>529</v>
      </c>
      <c r="F25" t="str">
        <f>IF(ISBLANK(A25), "", IFERROR(INDEX('Price list'!B:B, MATCH(LEFT(UPPER(SUBSTITUTE(A25, " ", "")), 8) &amp; "*", 'Price list'!F:F, 0)), ""))</f>
        <v>SMRT1326</v>
      </c>
      <c r="G25" s="2">
        <f>IF(ISBLANK(A25), "", IFERROR(INDEX('Price list'!C:C, MATCH(LEFT(UPPER(SUBSTITUTE(A25, " ", "")), 8) &amp; "*", 'Price list'!F:F, 0)), 0))</f>
        <v>529</v>
      </c>
      <c r="H25" s="3">
        <f>IF(ISBLANK(A25), "", IFERROR(INDEX('Price list'!E:E, MATCH(LEFT(UPPER(SUBSTITUTE(A25, " ", "")), 8) &amp; "*", 'Price list'!F:F, 0)), 0))</f>
        <v>0.05</v>
      </c>
      <c r="I25" s="1">
        <f>IF(ISBLANK(A25), "", IFERROR(INDEX('Price list'!D:D, MATCH(LEFT(UPPER(SUBSTITUTE(A25, " ", "")), 8) &amp; "*", 'Price list'!F:F, 0)), ""))</f>
        <v>95030020</v>
      </c>
      <c r="J25" s="3"/>
      <c r="K25" s="2">
        <f>IF(ISBLANK(A25), "", ROUND(G25*C25*J25,2))</f>
        <v>0</v>
      </c>
      <c r="L25" s="2">
        <f>IF(ISBLANK(A25), "", (G25*C25)-K25)</f>
        <v>529</v>
      </c>
      <c r="M25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</row>
    <row r="26" spans="1:13" ht="15" thickBot="1" x14ac:dyDescent="0.35">
      <c r="A26" t="s">
        <v>174</v>
      </c>
      <c r="B26" t="s">
        <v>274</v>
      </c>
      <c r="C26" s="1">
        <v>1</v>
      </c>
      <c r="D26" s="1">
        <v>0</v>
      </c>
      <c r="E26" s="2">
        <v>649</v>
      </c>
      <c r="F26" t="str">
        <f>IF(ISBLANK(A26), "", IFERROR(INDEX('Price list'!B:B, MATCH(LEFT(UPPER(SUBSTITUTE(A26, " ", "")), 8) &amp; "*", 'Price list'!F:F, 0)), ""))</f>
        <v>SMRT1335</v>
      </c>
      <c r="G26" s="2">
        <f>IF(ISBLANK(A26), "", IFERROR(INDEX('Price list'!C:C, MATCH(LEFT(UPPER(SUBSTITUTE(A26, " ", "")), 8) &amp; "*", 'Price list'!F:F, 0)), 0))</f>
        <v>649</v>
      </c>
      <c r="H26" s="3">
        <f>IF(ISBLANK(A26), "", IFERROR(INDEX('Price list'!E:E, MATCH(LEFT(UPPER(SUBSTITUTE(A26, " ", "")), 8) &amp; "*", 'Price list'!F:F, 0)), 0))</f>
        <v>0.05</v>
      </c>
      <c r="I26" s="1">
        <f>IF(ISBLANK(A26), "", IFERROR(INDEX('Price list'!D:D, MATCH(LEFT(UPPER(SUBSTITUTE(A26, " ", "")), 8) &amp; "*", 'Price list'!F:F, 0)), ""))</f>
        <v>95030020</v>
      </c>
      <c r="J26" s="3"/>
      <c r="K26" s="2">
        <f>IF(ISBLANK(A26), "", ROUND(G26*C26*J26,2))</f>
        <v>0</v>
      </c>
      <c r="L26" s="2">
        <f>IF(ISBLANK(A26), "", (G26*C26)-K26)</f>
        <v>649</v>
      </c>
      <c r="M26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ht="17.399999999999999" thickBot="1" x14ac:dyDescent="0.45">
      <c r="A27" s="11" t="s">
        <v>275</v>
      </c>
      <c r="B27" s="11"/>
      <c r="C27" s="12">
        <f>SUM(C11:C26)</f>
        <v>21</v>
      </c>
      <c r="D27" s="12">
        <f>SUM(D11:D26)</f>
        <v>0</v>
      </c>
      <c r="E27" s="13"/>
      <c r="F27" s="14"/>
      <c r="G27" s="13"/>
      <c r="H27" s="15"/>
      <c r="I27" s="12"/>
      <c r="J27" s="15"/>
      <c r="K27" s="13">
        <f>SUM(K11:K26)</f>
        <v>0</v>
      </c>
      <c r="L27" s="13">
        <f>SUM(L11:L26)</f>
        <v>21289</v>
      </c>
    </row>
    <row r="28" spans="1:13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1:13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1:13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1:13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1:13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4">
    <mergeCell ref="C5:F5"/>
    <mergeCell ref="C4:F4"/>
    <mergeCell ref="A1:M1"/>
    <mergeCell ref="A27:B27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0" t="s">
        <v>251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9"/>
      <c r="D4" s="9"/>
      <c r="E4" s="9"/>
      <c r="F4" s="9"/>
    </row>
    <row r="5" spans="1:13" ht="22.05" customHeight="1" x14ac:dyDescent="0.3">
      <c r="B5" s="5" t="s">
        <v>238</v>
      </c>
      <c r="C5" s="8"/>
      <c r="D5" s="8"/>
      <c r="E5" s="8"/>
      <c r="F5" s="8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00"/>
  <sheetViews>
    <sheetView topLeftCell="A34" workbookViewId="0">
      <selection sqref="A1:M1"/>
    </sheetView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0" t="s">
        <v>252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9"/>
      <c r="D4" s="9"/>
      <c r="E4" s="9"/>
      <c r="F4" s="9"/>
    </row>
    <row r="5" spans="1:13" ht="22.05" customHeight="1" x14ac:dyDescent="0.3">
      <c r="B5" s="5" t="s">
        <v>238</v>
      </c>
      <c r="C5" s="8"/>
      <c r="D5" s="8"/>
      <c r="E5" s="8"/>
      <c r="F5" s="8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/>
  </sheetViews>
  <sheetFormatPr defaultRowHeight="14.4" x14ac:dyDescent="0.3"/>
  <cols>
    <col min="1" max="1" width="15.77734375" customWidth="1"/>
    <col min="2" max="2" width="32.77734375" customWidth="1"/>
    <col min="3" max="3" width="8.77734375" customWidth="1"/>
    <col min="4" max="4" width="9.77734375" customWidth="1"/>
    <col min="5" max="5" width="12.77734375" customWidth="1"/>
    <col min="6" max="6" width="15.77734375" customWidth="1"/>
    <col min="7" max="7" width="12.77734375" customWidth="1"/>
    <col min="8" max="8" width="8.77734375" customWidth="1"/>
    <col min="9" max="10" width="11.77734375" customWidth="1"/>
    <col min="11" max="12" width="15.77734375" customWidth="1"/>
  </cols>
  <sheetData>
    <row r="1" spans="1:13" ht="31.95" customHeight="1" x14ac:dyDescent="0.3">
      <c r="A1" s="10" t="s">
        <v>253</v>
      </c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28.05" customHeight="1" x14ac:dyDescent="0.3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7.95" customHeight="1" x14ac:dyDescent="0.3"/>
    <row r="4" spans="1:13" ht="22.05" customHeight="1" x14ac:dyDescent="0.3">
      <c r="B4" s="5" t="s">
        <v>237</v>
      </c>
      <c r="C4" s="9"/>
      <c r="D4" s="9"/>
      <c r="E4" s="9"/>
      <c r="F4" s="9"/>
    </row>
    <row r="5" spans="1:13" ht="22.05" customHeight="1" x14ac:dyDescent="0.3">
      <c r="B5" s="5" t="s">
        <v>238</v>
      </c>
      <c r="C5" s="8"/>
      <c r="D5" s="8"/>
      <c r="E5" s="8"/>
      <c r="F5" s="8"/>
    </row>
    <row r="6" spans="1:13" ht="7.95" customHeight="1" x14ac:dyDescent="0.3"/>
    <row r="10" spans="1:13" ht="24" customHeight="1" x14ac:dyDescent="0.3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4.4" x14ac:dyDescent="0.3"/>
  <sheetData/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8"/>
  <sheetViews>
    <sheetView topLeftCell="A175" workbookViewId="0">
      <selection activeCell="D185" sqref="D185"/>
    </sheetView>
  </sheetViews>
  <sheetFormatPr defaultRowHeight="14.4" x14ac:dyDescent="0.3"/>
  <cols>
    <col min="7" max="7" width="17.4414062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 s="7">
        <v>8906187980659</v>
      </c>
    </row>
    <row r="177" spans="1:7" x14ac:dyDescent="0.3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 s="7">
        <v>8906187980505</v>
      </c>
    </row>
    <row r="178" spans="1:7" x14ac:dyDescent="0.3">
      <c r="A178">
        <v>178</v>
      </c>
      <c r="B178" t="s">
        <v>256</v>
      </c>
      <c r="C178">
        <v>1000</v>
      </c>
      <c r="D178">
        <v>95030020</v>
      </c>
      <c r="E178">
        <v>0.05</v>
      </c>
      <c r="F178" t="s">
        <v>256</v>
      </c>
      <c r="G178" s="7">
        <v>8906112345672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43"/>
  <sheetViews>
    <sheetView workbookViewId="0">
      <selection activeCell="I19" sqref="I19"/>
    </sheetView>
  </sheetViews>
  <sheetFormatPr defaultRowHeight="14.4" x14ac:dyDescent="0.3"/>
  <sheetData>
    <row r="1" spans="1:6" x14ac:dyDescent="0.3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">
      <c r="A21" t="s">
        <v>214</v>
      </c>
      <c r="B21" t="s">
        <v>214</v>
      </c>
      <c r="C21">
        <v>0.47620000000000001</v>
      </c>
      <c r="D21">
        <v>0</v>
      </c>
      <c r="E21">
        <v>0.53390000000000004</v>
      </c>
      <c r="F21">
        <v>0</v>
      </c>
    </row>
    <row r="22" spans="1:6" x14ac:dyDescent="0.3">
      <c r="A22" t="s">
        <v>215</v>
      </c>
      <c r="B22" t="s">
        <v>215</v>
      </c>
      <c r="C22">
        <v>0.52380000000000004</v>
      </c>
      <c r="D22">
        <v>0</v>
      </c>
      <c r="E22">
        <v>0.57630000000000003</v>
      </c>
      <c r="F22">
        <v>0</v>
      </c>
    </row>
    <row r="23" spans="1:6" x14ac:dyDescent="0.3">
      <c r="A23" t="s">
        <v>216</v>
      </c>
      <c r="B23" t="s">
        <v>216</v>
      </c>
      <c r="C23">
        <v>0.47620000000000001</v>
      </c>
      <c r="D23">
        <v>0</v>
      </c>
      <c r="E23">
        <v>0.53390000000000004</v>
      </c>
      <c r="F23">
        <v>0</v>
      </c>
    </row>
    <row r="24" spans="1:6" x14ac:dyDescent="0.3">
      <c r="A24" t="s">
        <v>217</v>
      </c>
      <c r="B24" t="s">
        <v>217</v>
      </c>
      <c r="C24">
        <v>0.52380000000000004</v>
      </c>
      <c r="D24">
        <v>0</v>
      </c>
      <c r="E24">
        <v>0.57630000000000003</v>
      </c>
      <c r="F24">
        <v>0</v>
      </c>
    </row>
    <row r="25" spans="1:6" x14ac:dyDescent="0.3">
      <c r="A25" t="s">
        <v>218</v>
      </c>
      <c r="B25" t="s">
        <v>218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">
      <c r="A26" t="s">
        <v>219</v>
      </c>
      <c r="B26" t="s">
        <v>219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">
      <c r="A27" t="s">
        <v>220</v>
      </c>
      <c r="B27" t="s">
        <v>220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">
      <c r="A28" t="s">
        <v>221</v>
      </c>
      <c r="B28" t="s">
        <v>221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">
      <c r="A29" t="s">
        <v>222</v>
      </c>
      <c r="B29" t="s">
        <v>222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">
      <c r="A30" t="s">
        <v>223</v>
      </c>
      <c r="B30" t="s">
        <v>223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">
      <c r="A31" t="s">
        <v>224</v>
      </c>
      <c r="B31" t="s">
        <v>224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">
      <c r="A32" t="s">
        <v>225</v>
      </c>
      <c r="B32" t="s">
        <v>225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">
      <c r="A33" t="s">
        <v>226</v>
      </c>
      <c r="B33" t="s">
        <v>226</v>
      </c>
      <c r="C33">
        <v>0.47620000000000001</v>
      </c>
      <c r="D33">
        <v>0</v>
      </c>
      <c r="E33">
        <v>0.53390000000000004</v>
      </c>
      <c r="F33">
        <v>0</v>
      </c>
    </row>
    <row r="34" spans="1:6" x14ac:dyDescent="0.3">
      <c r="A34" t="s">
        <v>227</v>
      </c>
      <c r="B34" t="s">
        <v>227</v>
      </c>
      <c r="C34">
        <v>0.49719999999999998</v>
      </c>
      <c r="D34">
        <v>0</v>
      </c>
      <c r="E34">
        <v>0.57440000000000002</v>
      </c>
      <c r="F34">
        <v>0</v>
      </c>
    </row>
    <row r="35" spans="1:6" x14ac:dyDescent="0.3">
      <c r="A35" t="s">
        <v>228</v>
      </c>
      <c r="B35" t="s">
        <v>228</v>
      </c>
      <c r="C35">
        <v>0.47620000000000001</v>
      </c>
      <c r="D35">
        <v>0</v>
      </c>
      <c r="E35">
        <v>0.53390000000000004</v>
      </c>
      <c r="F35">
        <v>0</v>
      </c>
    </row>
    <row r="36" spans="1:6" x14ac:dyDescent="0.3">
      <c r="A36" t="s">
        <v>229</v>
      </c>
      <c r="B36" t="s">
        <v>229</v>
      </c>
      <c r="C36">
        <v>0.52380000000000004</v>
      </c>
      <c r="D36">
        <v>0</v>
      </c>
      <c r="E36">
        <v>0.57630000000000003</v>
      </c>
      <c r="F36">
        <v>0</v>
      </c>
    </row>
    <row r="37" spans="1:6" x14ac:dyDescent="0.3">
      <c r="A37" t="s">
        <v>230</v>
      </c>
      <c r="B37" t="s">
        <v>230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">
      <c r="A38" t="s">
        <v>231</v>
      </c>
      <c r="B38" t="s">
        <v>231</v>
      </c>
      <c r="C38">
        <v>0.47620000000000001</v>
      </c>
      <c r="D38">
        <v>0</v>
      </c>
      <c r="E38">
        <v>0.53390000000000004</v>
      </c>
      <c r="F38">
        <v>0</v>
      </c>
    </row>
    <row r="39" spans="1:6" x14ac:dyDescent="0.3">
      <c r="A39" t="s">
        <v>232</v>
      </c>
      <c r="B39" t="s">
        <v>232</v>
      </c>
      <c r="C39">
        <v>0.52380000000000004</v>
      </c>
      <c r="D39">
        <v>0</v>
      </c>
      <c r="E39">
        <v>0.57630000000000003</v>
      </c>
      <c r="F39">
        <v>0</v>
      </c>
    </row>
    <row r="40" spans="1:6" x14ac:dyDescent="0.3">
      <c r="A40" t="s">
        <v>233</v>
      </c>
      <c r="B40" t="s">
        <v>233</v>
      </c>
      <c r="C40">
        <v>0.4738</v>
      </c>
      <c r="D40">
        <v>0</v>
      </c>
      <c r="E40">
        <v>0.53180000000000005</v>
      </c>
      <c r="F40">
        <v>0</v>
      </c>
    </row>
    <row r="41" spans="1:6" x14ac:dyDescent="0.3">
      <c r="A41" t="s">
        <v>234</v>
      </c>
      <c r="B41" t="s">
        <v>234</v>
      </c>
      <c r="C41">
        <v>0.43080000000000002</v>
      </c>
      <c r="D41">
        <v>0</v>
      </c>
      <c r="E41">
        <v>0.50719999999999998</v>
      </c>
      <c r="F41">
        <v>0</v>
      </c>
    </row>
    <row r="42" spans="1:6" x14ac:dyDescent="0.3">
      <c r="A42" t="s">
        <v>235</v>
      </c>
      <c r="B42" t="s">
        <v>235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">
      <c r="A43" t="s">
        <v>236</v>
      </c>
      <c r="B43" t="s">
        <v>236</v>
      </c>
      <c r="C43">
        <v>0.47620000000000001</v>
      </c>
      <c r="D43">
        <v>0</v>
      </c>
      <c r="E43">
        <v>0.53390000000000004</v>
      </c>
      <c r="F43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DELL</cp:lastModifiedBy>
  <dcterms:created xsi:type="dcterms:W3CDTF">2026-08-17T07:54:12Z</dcterms:created>
  <dcterms:modified xsi:type="dcterms:W3CDTF">2026-08-18T07:29:13Z</dcterms:modified>
</cp:coreProperties>
</file>