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-main\"/>
    </mc:Choice>
  </mc:AlternateContent>
  <xr:revisionPtr revIDLastSave="0" documentId="13_ncr:1_{BCD5E987-A5F8-4C75-802C-6FB1D0167E86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D5" i="1"/>
  <c r="D23" i="1"/>
  <c r="C23" i="1"/>
  <c r="M22" i="1"/>
  <c r="J22" i="1"/>
  <c r="K22" i="1" s="1"/>
  <c r="L22" i="1" s="1"/>
  <c r="I22" i="1"/>
  <c r="H22" i="1"/>
  <c r="G22" i="1"/>
  <c r="F22" i="1"/>
  <c r="I21" i="1"/>
  <c r="H21" i="1"/>
  <c r="J21" i="1" s="1"/>
  <c r="K21" i="1" s="1"/>
  <c r="L21" i="1" s="1"/>
  <c r="G21" i="1"/>
  <c r="F21" i="1"/>
  <c r="M21" i="1" s="1"/>
  <c r="J20" i="1"/>
  <c r="I20" i="1"/>
  <c r="H20" i="1"/>
  <c r="G20" i="1"/>
  <c r="F20" i="1"/>
  <c r="M20" i="1" s="1"/>
  <c r="M19" i="1"/>
  <c r="I19" i="1"/>
  <c r="H19" i="1"/>
  <c r="J19" i="1" s="1"/>
  <c r="K19" i="1" s="1"/>
  <c r="L19" i="1" s="1"/>
  <c r="G19" i="1"/>
  <c r="F19" i="1"/>
  <c r="M18" i="1"/>
  <c r="J18" i="1"/>
  <c r="K18" i="1" s="1"/>
  <c r="L18" i="1" s="1"/>
  <c r="I18" i="1"/>
  <c r="H18" i="1"/>
  <c r="G18" i="1"/>
  <c r="F18" i="1"/>
  <c r="I17" i="1"/>
  <c r="H17" i="1"/>
  <c r="J17" i="1" s="1"/>
  <c r="K17" i="1" s="1"/>
  <c r="L17" i="1" s="1"/>
  <c r="G17" i="1"/>
  <c r="F17" i="1"/>
  <c r="M17" i="1" s="1"/>
  <c r="J16" i="1"/>
  <c r="I16" i="1"/>
  <c r="H16" i="1"/>
  <c r="G16" i="1"/>
  <c r="F16" i="1"/>
  <c r="M16" i="1" s="1"/>
  <c r="M15" i="1"/>
  <c r="I15" i="1"/>
  <c r="H15" i="1"/>
  <c r="J15" i="1" s="1"/>
  <c r="K15" i="1" s="1"/>
  <c r="L15" i="1" s="1"/>
  <c r="G15" i="1"/>
  <c r="F15" i="1"/>
  <c r="M14" i="1"/>
  <c r="J14" i="1"/>
  <c r="K14" i="1" s="1"/>
  <c r="L14" i="1" s="1"/>
  <c r="I14" i="1"/>
  <c r="H14" i="1"/>
  <c r="G14" i="1"/>
  <c r="F14" i="1"/>
  <c r="I13" i="1"/>
  <c r="H13" i="1"/>
  <c r="J13" i="1" s="1"/>
  <c r="K13" i="1" s="1"/>
  <c r="L13" i="1" s="1"/>
  <c r="G13" i="1"/>
  <c r="F13" i="1"/>
  <c r="I12" i="1"/>
  <c r="H12" i="1"/>
  <c r="J12" i="1" s="1"/>
  <c r="K12" i="1" s="1"/>
  <c r="L12" i="1" s="1"/>
  <c r="G12" i="1"/>
  <c r="F12" i="1"/>
  <c r="M12" i="1" s="1"/>
  <c r="M11" i="1"/>
  <c r="J11" i="1"/>
  <c r="I11" i="1"/>
  <c r="H11" i="1"/>
  <c r="G11" i="1"/>
  <c r="F11" i="1"/>
  <c r="F5" i="3"/>
  <c r="D5" i="3"/>
  <c r="K16" i="1" l="1"/>
  <c r="L16" i="1" s="1"/>
  <c r="K20" i="1"/>
  <c r="L20" i="1" s="1"/>
  <c r="K11" i="1"/>
  <c r="K23" i="1"/>
  <c r="K5" i="1" s="1"/>
  <c r="L11" i="1"/>
  <c r="L23" i="1" s="1"/>
  <c r="H5" i="1" s="1"/>
  <c r="K5" i="3"/>
  <c r="H5" i="3"/>
</calcChain>
</file>

<file path=xl/sharedStrings.xml><?xml version="1.0" encoding="utf-8"?>
<sst xmlns="http://schemas.openxmlformats.org/spreadsheetml/2006/main" count="594" uniqueCount="300">
  <si>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</si>
  <si>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</si>
  <si>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</si>
  <si>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</si>
  <si>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</si>
  <si>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</si>
  <si>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</si>
  <si>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</si>
  <si>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</si>
  <si>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</si>
  <si>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</si>
  <si>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</si>
  <si>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</si>
  <si>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</si>
  <si>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</si>
  <si>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</si>
  <si>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</si>
  <si>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</si>
  <si>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</si>
  <si>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</si>
  <si>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</si>
  <si>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</si>
  <si>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</si>
  <si>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</si>
  <si>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</si>
  <si>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</si>
  <si>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</si>
  <si>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</si>
  <si>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</si>
  <si>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</si>
  <si>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</si>
  <si>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</si>
  <si>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</si>
  <si>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</si>
  <si>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</si>
  <si>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</si>
  <si>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</si>
  <si>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</si>
  <si>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</si>
  <si>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</si>
  <si>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</si>
  <si>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</si>
  <si>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</si>
  <si>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</si>
  <si>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</si>
  <si>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</si>
  <si>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</si>
  <si>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</si>
  <si>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</si>
  <si>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</si>
  <si>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</si>
  <si>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</si>
  <si>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</si>
  <si>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</si>
  <si>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</si>
  <si>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</si>
  <si>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</si>
  <si>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</si>
  <si>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</si>
  <si>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</si>
  <si>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</si>
  <si>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</si>
  <si>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</si>
  <si>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</si>
  <si>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</si>
  <si>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</si>
  <si>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</si>
  <si>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</si>
  <si>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</si>
  <si>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</si>
  <si>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</si>
  <si>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</si>
  <si>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</si>
  <si>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</si>
  <si>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</si>
  <si>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</si>
  <si>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</si>
  <si>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</si>
  <si>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</si>
  <si>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</si>
  <si>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</si>
  <si>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</si>
  <si>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</si>
  <si>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</si>
  <si>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</si>
  <si>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</si>
  <si>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</si>
  <si>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</si>
  <si>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</si>
  <si>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</si>
  <si>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</si>
  <si>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</si>
  <si>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</si>
  <si>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</si>
  <si>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</si>
  <si>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</si>
  <si>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</si>
  <si>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</si>
  <si>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</si>
  <si>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</si>
  <si>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</si>
  <si>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</si>
  <si>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</si>
  <si>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</si>
  <si>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</si>
  <si>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</si>
  <si>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</si>
  <si>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</si>
  <si>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</si>
  <si>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</si>
  <si>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</si>
  <si>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</si>
  <si>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</si>
  <si>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</si>
  <si>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</si>
  <si>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</si>
  <si>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</si>
  <si>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</si>
  <si>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</si>
  <si>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</si>
  <si>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</si>
  <si>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</si>
  <si>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</si>
  <si>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</si>
  <si>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</si>
  <si>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</si>
  <si>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</si>
  <si>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</si>
  <si>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</si>
  <si>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</si>
  <si>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</si>
  <si>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</si>
  <si>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</si>
  <si>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</si>
  <si>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</si>
  <si>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</si>
  <si>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</si>
  <si>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</si>
  <si>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</si>
  <si>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</si>
  <si>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</si>
  <si>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</si>
  <si>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</si>
  <si>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</si>
  <si>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</si>
  <si>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</si>
  <si>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</si>
  <si>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</si>
  <si>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</si>
  <si>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</si>
  <si>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</si>
  <si>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</si>
  <si>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</si>
  <si>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</si>
  <si>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</si>
  <si>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</si>
  <si>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</si>
  <si>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</si>
  <si>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</si>
  <si>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</si>
  <si>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</si>
  <si>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</si>
  <si>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</si>
  <si>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</si>
  <si>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</si>
  <si>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</si>
  <si>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</si>
  <si>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</si>
  <si>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</si>
  <si>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</si>
  <si>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</si>
  <si>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</si>
  <si>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</si>
  <si>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</si>
  <si>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</si>
  <si>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</si>
  <si>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</si>
  <si>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</si>
  <si>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</si>
  <si>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</si>
  <si>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</si>
  <si>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</si>
  <si>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</si>
  <si>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</si>
  <si>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</si>
  <si>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</si>
  <si>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</si>
  <si>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</si>
  <si>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</si>
  <si>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</si>
  <si>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</si>
  <si>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</si>
  <si>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</si>
  <si>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</si>
  <si>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</si>
  <si>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</si>
  <si>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</si>
  <si>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</si>
  <si>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</si>
  <si>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</si>
  <si>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</si>
  <si>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</si>
  <si>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</si>
  <si>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</si>
  <si>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</si>
  <si>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</si>
  <si>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</si>
  <si>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</si>
  <si>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</si>
  <si>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</si>
  <si>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</si>
  <si>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</si>
  <si>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</si>
  <si>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</si>
  <si>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</si>
  <si>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</si>
  <si>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</si>
  <si>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</si>
  <si>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</si>
  <si>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</si>
  <si>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</si>
  <si>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</si>
  <si>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</si>
  <si>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</si>
  <si>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</si>
  <si>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</si>
  <si>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</si>
  <si>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</si>
  <si>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</si>
  <si>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</si>
  <si>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</si>
  <si>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</si>
  <si>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</si>
  <si>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</si>
  <si>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</si>
  <si>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</si>
  <si>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</si>
  <si>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</si>
  <si>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</si>
  <si>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</si>
  <si>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</si>
  <si>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</si>
  <si>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</si>
  <si>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</si>
  <si>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</si>
  <si>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</si>
  <si>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</si>
  <si>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</si>
  <si>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</si>
  <si>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</si>
  <si>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</si>
  <si>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</si>
  <si>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</si>
  <si>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</si>
  <si>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</si>
  <si>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</si>
  <si>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</si>
  <si>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</si>
  <si>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</si>
  <si>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</si>
  <si>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</si>
  <si>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</si>
  <si>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</si>
  <si>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</si>
  <si>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</si>
  <si>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</si>
  <si>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</si>
  <si>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GRAND TOTAL</t>
  </si>
  <si>
    <t>Digital Age Retail Pvt. Ltd.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</si>
  <si>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</si>
  <si>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</si>
  <si>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</si>
  <si>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</si>
  <si>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</si>
  <si>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</si>
  <si>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</si>
  <si>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</si>
  <si>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BLISS ENTERPRISES</t>
  </si>
  <si>
    <t>Missile Truck</t>
  </si>
  <si>
    <t>SHIVAM TRADERS</t>
  </si>
  <si>
    <t>THE TOYS HOME</t>
  </si>
  <si>
    <t>MOHINI COLLECTION EXT</t>
  </si>
  <si>
    <t>S V GIFTS &amp; TOYS</t>
  </si>
  <si>
    <t>SARDAR JI TOYS</t>
  </si>
  <si>
    <t>KASHMIR BOOK DEPOT</t>
  </si>
  <si>
    <t>BNItemNo</t>
  </si>
  <si>
    <t>SAI TAK AND CO (BOSTON BOOKS, STATIONERY &amp; TOYS) REKHA REKHAJA (BOSTON BOOKS, STATIONERY &amp; TOYS)- MN CAPITAL 7-</t>
  </si>
  <si>
    <t>Smartivity Mega Science kit</t>
  </si>
  <si>
    <t>Math Genius</t>
  </si>
  <si>
    <t>SMRT1362</t>
  </si>
  <si>
    <t>d MAZE</t>
  </si>
  <si>
    <t>Fantastic optics kaleidoscope</t>
  </si>
  <si>
    <t>Hydraulic Plane launcher</t>
  </si>
  <si>
    <t>✅ Auto-matched SKU (PO: 'SMRT1163')</t>
  </si>
  <si>
    <t>Magic of Science</t>
  </si>
  <si>
    <t>Rocket Launcher</t>
  </si>
  <si>
    <t>Sentence Coder</t>
  </si>
  <si>
    <t>Spelling Game</t>
  </si>
  <si>
    <t>Turbo Loop Track</t>
  </si>
  <si>
    <t>Smart Quiz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</si>
</sst>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10" fontId="0" fillId="0" borderId="0" xfId="0" applyNumberFormat="1"/>
    <xf numFmtId="0" fontId="0" fillId="6" borderId="0" xfId="0" applyFill="1"/>
    <xf numFmtId="10" fontId="0" fillId="6" borderId="0" xfId="0" applyNumberFormat="1" applyFill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6" borderId="0" xfId="0" applyFont="1" applyFill="1" applyBorder="1"/>
    <xf numFmtId="10" fontId="0" fillId="6" borderId="0" xfId="0" applyNumberFormat="1" applyFont="1" applyFill="1" applyBorder="1"/>
    <xf numFmtId="0" fontId="0" fillId="0" borderId="0" xfId="0" applyFill="1" applyBorder="1"/>
    <xf numFmtId="0" fontId="5" fillId="4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8067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8067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8067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8067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8067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8067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8067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8067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topLeftCell="C16" zoomScaleNormal="100" workbookViewId="0">
      <selection activeCell="L23" sqref="L23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1" t="s">
        <v>260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0"/>
    </row>
    <row r="2" spans="1:14" ht="28" customHeight="1" x14ac:dyDescent="0.3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0"/>
    </row>
    <row r="3" spans="1:14" ht="8" customHeight="1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</row>
    <row r="4" spans="1:14" ht="22" customHeight="1" x14ac:dyDescent="0.35">
      <c r="A4" s="14" t="s">
        <v>255</v>
      </c>
      <c r="B4" s="15"/>
      <c r="C4" s="15"/>
      <c r="D4" s="17" t="s">
        <v>256</v>
      </c>
      <c r="E4" s="18"/>
      <c r="F4" s="17" t="s">
        <v>257</v>
      </c>
      <c r="G4" s="18"/>
      <c r="H4" s="20" t="s">
        <v>258</v>
      </c>
      <c r="I4" s="21"/>
      <c r="J4" s="21"/>
      <c r="K4" s="23" t="s">
        <v>259</v>
      </c>
      <c r="L4" s="24"/>
      <c r="M4" s="24"/>
      <c r="N4" s="30"/>
    </row>
    <row r="5" spans="1:14" ht="22" customHeight="1" x14ac:dyDescent="0.35">
      <c r="A5" s="16" t="s">
        <v>227</v>
      </c>
      <c r="B5" s="15"/>
      <c r="C5" s="15"/>
      <c r="D5" s="19">
        <f>COUNTA(A11:A22)</f>
        <v>12</v>
      </c>
      <c r="E5" s="18"/>
      <c r="F5" s="19">
        <f>C23</f>
        <v>90</v>
      </c>
      <c r="G5" s="18"/>
      <c r="H5" s="22">
        <f>L23</f>
        <v>40413.829999999994</v>
      </c>
      <c r="I5" s="21"/>
      <c r="J5" s="21"/>
      <c r="K5" s="25">
        <f>K23</f>
        <v>40976.170000000006</v>
      </c>
      <c r="L5" s="24"/>
      <c r="M5" s="24"/>
      <c r="N5" s="30"/>
    </row>
    <row r="6" spans="1:14" ht="8" customHeight="1" x14ac:dyDescent="0.3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</row>
    <row r="7" spans="1:14" x14ac:dyDescent="0.3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</row>
    <row r="8" spans="1:14" x14ac:dyDescent="0.3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</row>
    <row r="9" spans="1:14" x14ac:dyDescent="0.3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14" ht="24" customHeight="1" x14ac:dyDescent="0.35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4" x14ac:dyDescent="0.35">
      <c r="A11" s="26" t="s">
        <v>179</v>
      </c>
      <c r="B11" s="26" t="s">
        <v>290</v>
      </c>
      <c r="C11" s="26">
        <v>6</v>
      </c>
      <c r="D11" s="26">
        <v>1</v>
      </c>
      <c r="E11" s="26">
        <v>899</v>
      </c>
      <c r="F11" s="26" t="str">
        <f>IF(ISBLANK(A11), "", IFERROR(INDEX('Price list'!B:B, MATCH(LEFT(UPPER(SUBSTITUTE(A11, " ", "")), 8) &amp; "*", 'Price list'!F:F, 0)), ""))</f>
        <v>SMRT1344</v>
      </c>
      <c r="G11" s="26">
        <f>IF(ISBLANK(A11), "", IFERROR(INDEX('Price list'!C:C, MATCH(LEFT(UPPER(SUBSTITUTE(A11, " ", "")), 8) &amp; "*", 'Price list'!F:F, 0)), 0))</f>
        <v>899</v>
      </c>
      <c r="H11" s="26">
        <f>IF(ISBLANK(A11), "", IFERROR(INDEX('Price list'!E:E, MATCH(LEFT(UPPER(SUBSTITUTE(A11, " ", "")), 8) &amp; "*", 'Price list'!F:F, 0)), 0))</f>
        <v>0.05</v>
      </c>
      <c r="I11" s="26">
        <f>IF(ISBLANK(A11), "", IFERROR(INDEX('Price list'!D:D, MATCH(LEFT(UPPER(SUBSTITUTE(A11, " ", "")), 8) &amp; "*", 'Price list'!F:F, 0)), ""))</f>
        <v>95030020</v>
      </c>
      <c r="J11" s="27">
        <f>IF(ISBLANK(A11), "", IFERROR(IF(ROUND(H11,2)=0.05, INDEX(discount!C:C, IFERROR(MATCH($A$5, discount!A:A, 0), IFERROR(MATCH("*" &amp; LEFT($A$5, 12) &amp; "*", discount!A:A, 0), MATCH("*" &amp; LEFT($A$5, 6) &amp; "*", discount!A:A, 0)))), IF(ROUND(H11,2)=0.18, INDEX(discount!E:E, IFERROR(MATCH($A$5, discount!A:A, 0), IFERROR(MATCH("*" &amp; LEFT($A$5, 12) &amp; "*", discount!A:A, 0), MATCH("*" &amp; LEFT($A$5, 6) &amp; "*", discount!A:A, 0)))), IF(ROUND(H11,2)=0.12, INDEX(discount!D:D, IFERROR(MATCH($A$5, discount!A:A, 0), IFERROR(MATCH("*" &amp; LEFT($A$5, 12) &amp; "*", discount!A:A, 0), MATCH("*" &amp; LEFT($A$5, 6) &amp; "*", discount!A:A, 0)))), IF(ROUND(H11,2)=0.28,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11" s="26">
        <f>IF(ISBLANK(A11), "", ROUND(G11*C11*J11,2))</f>
        <v>2681.9</v>
      </c>
      <c r="L11" s="26">
        <f>IF(ISBLANK(A11), "", (G11*C11)-K11)</f>
        <v>2712.1</v>
      </c>
      <c r="M11" s="26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26"/>
    </row>
    <row r="12" spans="1:14" x14ac:dyDescent="0.35">
      <c r="A12" s="28" t="s">
        <v>29</v>
      </c>
      <c r="B12" s="28" t="s">
        <v>291</v>
      </c>
      <c r="C12" s="28">
        <v>12</v>
      </c>
      <c r="D12" s="28">
        <v>2</v>
      </c>
      <c r="E12" s="28">
        <v>849</v>
      </c>
      <c r="F12" s="28" t="str">
        <f>IF(ISBLANK(A12), "", IFERROR(INDEX('Price list'!B:B, MATCH(LEFT(UPPER(SUBSTITUTE(A12, " ", "")), 8) &amp; "*", 'Price list'!F:F, 0)), ""))</f>
        <v>SMRT1040</v>
      </c>
      <c r="G12" s="28">
        <f>IF(ISBLANK(A12), "", IFERROR(INDEX('Price list'!C:C, MATCH(LEFT(UPPER(SUBSTITUTE(A12, " ", "")), 8) &amp; "*", 'Price list'!F:F, 0)), 0))</f>
        <v>849</v>
      </c>
      <c r="H12" s="28">
        <f>IF(ISBLANK(A12), "", IFERROR(INDEX('Price list'!E:E, MATCH(LEFT(UPPER(SUBSTITUTE(A12, " ", "")), 8) &amp; "*", 'Price list'!F:F, 0)), 0))</f>
        <v>0.05</v>
      </c>
      <c r="I12" s="28">
        <f>IF(ISBLANK(A12), "", IFERROR(INDEX('Price list'!D:D, MATCH(LEFT(UPPER(SUBSTITUTE(A12, " ", "")), 8) &amp; "*", 'Price list'!F:F, 0)), ""))</f>
        <v>95030020</v>
      </c>
      <c r="J12" s="29">
        <f>IF(ISBLANK(A12), "", IFERROR(IF(ROUND(H12,2)=0.05, INDEX(discount!C:C, IFERROR(MATCH($A$5, discount!A:A, 0), IFERROR(MATCH("*" &amp; LEFT($A$5, 12) &amp; "*", discount!A:A, 0), MATCH("*" &amp; LEFT($A$5, 6) &amp; "*", discount!A:A, 0)))), IF(ROUND(H12,2)=0.18, INDEX(discount!E:E, IFERROR(MATCH($A$5, discount!A:A, 0), IFERROR(MATCH("*" &amp; LEFT($A$5, 12) &amp; "*", discount!A:A, 0), MATCH("*" &amp; LEFT($A$5, 6) &amp; "*", discount!A:A, 0)))), IF(ROUND(H12,2)=0.12, INDEX(discount!D:D, IFERROR(MATCH($A$5, discount!A:A, 0), IFERROR(MATCH("*" &amp; LEFT($A$5, 12) &amp; "*", discount!A:A, 0), MATCH("*" &amp; LEFT($A$5, 6) &amp; "*", discount!A:A, 0)))), IF(ROUND(H12,2)=0.28,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12" s="28">
        <f>IF(ISBLANK(A12), "", ROUND(G12*C12*J12,2))</f>
        <v>5065.47</v>
      </c>
      <c r="L12" s="28">
        <f>IF(ISBLANK(A12), "", (G12*C12)-K12)</f>
        <v>5122.53</v>
      </c>
      <c r="M12" s="26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26"/>
    </row>
    <row r="13" spans="1:14" x14ac:dyDescent="0.35">
      <c r="A13" s="26" t="s">
        <v>76</v>
      </c>
      <c r="B13" s="26" t="s">
        <v>292</v>
      </c>
      <c r="C13" s="26">
        <v>6</v>
      </c>
      <c r="D13" s="26">
        <v>1</v>
      </c>
      <c r="E13" s="26">
        <v>979</v>
      </c>
      <c r="F13" s="26" t="str">
        <f>IF(ISBLANK(A13), "", IFERROR(INDEX('Price list'!B:B, MATCH(LEFT(UPPER(SUBSTITUTE(A13, " ", "")), 8) &amp; "*", 'Price list'!F:F, 0)), ""))</f>
        <v>SMRT1163 (V3)</v>
      </c>
      <c r="G13" s="26">
        <f>IF(ISBLANK(A13), "", IFERROR(INDEX('Price list'!C:C, MATCH(LEFT(UPPER(SUBSTITUTE(A13, " ", "")), 8) &amp; "*", 'Price list'!F:F, 0)), 0))</f>
        <v>979</v>
      </c>
      <c r="H13" s="26">
        <f>IF(ISBLANK(A13), "", IFERROR(INDEX('Price list'!E:E, MATCH(LEFT(UPPER(SUBSTITUTE(A13, " ", "")), 8) &amp; "*", 'Price list'!F:F, 0)), 0))</f>
        <v>0.05</v>
      </c>
      <c r="I13" s="26">
        <f>IF(ISBLANK(A13), "", IFERROR(INDEX('Price list'!D:D, MATCH(LEFT(UPPER(SUBSTITUTE(A13, " ", "")), 8) &amp; "*", 'Price list'!F:F, 0)), ""))</f>
        <v>95030020</v>
      </c>
      <c r="J13" s="27">
        <f>IF(ISBLANK(A13), "", IFERROR(IF(ROUND(H13,2)=0.05, INDEX(discount!C:C, IFERROR(MATCH($A$5, discount!A:A, 0), IFERROR(MATCH("*" &amp; LEFT($A$5, 12) &amp; "*", discount!A:A, 0), MATCH("*" &amp; LEFT($A$5, 6) &amp; "*", discount!A:A, 0)))), IF(ROUND(H13,2)=0.18, INDEX(discount!E:E, IFERROR(MATCH($A$5, discount!A:A, 0), IFERROR(MATCH("*" &amp; LEFT($A$5, 12) &amp; "*", discount!A:A, 0), MATCH("*" &amp; LEFT($A$5, 6) &amp; "*", discount!A:A, 0)))), IF(ROUND(H13,2)=0.12, INDEX(discount!D:D, IFERROR(MATCH($A$5, discount!A:A, 0), IFERROR(MATCH("*" &amp; LEFT($A$5, 12) &amp; "*", discount!A:A, 0), MATCH("*" &amp; LEFT($A$5, 6) &amp; "*", discount!A:A, 0)))), IF(ROUND(H13,2)=0.28,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13" s="26">
        <f>IF(ISBLANK(A13), "", ROUND(G13*C13*J13,2))</f>
        <v>2920.55</v>
      </c>
      <c r="L13" s="26">
        <f>IF(ISBLANK(A13), "", (G13*C13)-K13)</f>
        <v>2953.45</v>
      </c>
      <c r="M13" s="26" t="s">
        <v>293</v>
      </c>
      <c r="N13" s="26"/>
    </row>
    <row r="14" spans="1:14" x14ac:dyDescent="0.35">
      <c r="A14" s="28" t="s">
        <v>115</v>
      </c>
      <c r="B14" s="28" t="s">
        <v>294</v>
      </c>
      <c r="C14" s="28">
        <v>6</v>
      </c>
      <c r="D14" s="28">
        <v>1</v>
      </c>
      <c r="E14" s="28">
        <v>1099</v>
      </c>
      <c r="F14" s="28" t="str">
        <f>IF(ISBLANK(A14), "", IFERROR(INDEX('Price list'!B:B, MATCH(LEFT(UPPER(SUBSTITUTE(A14, " ", "")), 8) &amp; "*", 'Price list'!F:F, 0)), ""))</f>
        <v>SMRT1230-18</v>
      </c>
      <c r="G14" s="28">
        <f>IF(ISBLANK(A14), "", IFERROR(INDEX('Price list'!C:C, MATCH(LEFT(UPPER(SUBSTITUTE(A14, " ", "")), 8) &amp; "*", 'Price list'!F:F, 0)), 0))</f>
        <v>1099</v>
      </c>
      <c r="H14" s="28">
        <f>IF(ISBLANK(A14), "", IFERROR(INDEX('Price list'!E:E, MATCH(LEFT(UPPER(SUBSTITUTE(A14, " ", "")), 8) &amp; "*", 'Price list'!F:F, 0)), 0))</f>
        <v>0.18</v>
      </c>
      <c r="I14" s="28">
        <f>IF(ISBLANK(A14), "", IFERROR(INDEX('Price list'!D:D, MATCH(LEFT(UPPER(SUBSTITUTE(A14, " ", "")), 8) &amp; "*", 'Price list'!F:F, 0)), ""))</f>
        <v>95030010</v>
      </c>
      <c r="J14" s="29">
        <f>IF(ISBLANK(A14), "", IFERROR(IF(ROUND(H14,2)=0.05, INDEX(discount!C:C, IFERROR(MATCH($A$5, discount!A:A, 0), IFERROR(MATCH("*" &amp; LEFT($A$5, 12) &amp; "*", discount!A:A, 0), MATCH("*" &amp; LEFT($A$5, 6) &amp; "*", discount!A:A, 0)))), IF(ROUND(H14,2)=0.18, INDEX(discount!E:E, IFERROR(MATCH($A$5, discount!A:A, 0), IFERROR(MATCH("*" &amp; LEFT($A$5, 12) &amp; "*", discount!A:A, 0), MATCH("*" &amp; LEFT($A$5, 6) &amp; "*", discount!A:A, 0)))), IF(ROUND(H14,2)=0.12, INDEX(discount!D:D, IFERROR(MATCH($A$5, discount!A:A, 0), IFERROR(MATCH("*" &amp; LEFT($A$5, 12) &amp; "*", discount!A:A, 0), MATCH("*" &amp; LEFT($A$5, 6) &amp; "*", discount!A:A, 0)))), IF(ROUND(H14,2)=0.28,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0.57440000000000002</v>
      </c>
      <c r="K14" s="28">
        <f>IF(ISBLANK(A14), "", ROUND(G14*C14*J14,2))</f>
        <v>3787.59</v>
      </c>
      <c r="L14" s="28">
        <f>IF(ISBLANK(A14), "", (G14*C14)-K14)</f>
        <v>2806.41</v>
      </c>
      <c r="M14" s="26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26"/>
    </row>
    <row r="15" spans="1:14" x14ac:dyDescent="0.35">
      <c r="A15" s="26" t="s">
        <v>172</v>
      </c>
      <c r="B15" s="26" t="s">
        <v>288</v>
      </c>
      <c r="C15" s="26">
        <v>6</v>
      </c>
      <c r="D15" s="26">
        <v>1</v>
      </c>
      <c r="E15" s="26">
        <v>699</v>
      </c>
      <c r="F15" s="26" t="str">
        <f>IF(ISBLANK(A15), "", IFERROR(INDEX('Price list'!B:B, MATCH(LEFT(UPPER(SUBSTITUTE(A15, " ", "")), 8) &amp; "*", 'Price list'!F:F, 0)), ""))</f>
        <v>SMRT1333</v>
      </c>
      <c r="G15" s="26">
        <f>IF(ISBLANK(A15), "", IFERROR(INDEX('Price list'!C:C, MATCH(LEFT(UPPER(SUBSTITUTE(A15, " ", "")), 8) &amp; "*", 'Price list'!F:F, 0)), 0))</f>
        <v>699</v>
      </c>
      <c r="H15" s="26">
        <f>IF(ISBLANK(A15), "", IFERROR(INDEX('Price list'!E:E, MATCH(LEFT(UPPER(SUBSTITUTE(A15, " ", "")), 8) &amp; "*", 'Price list'!F:F, 0)), 0))</f>
        <v>0.05</v>
      </c>
      <c r="I15" s="26">
        <f>IF(ISBLANK(A15), "", IFERROR(INDEX('Price list'!D:D, MATCH(LEFT(UPPER(SUBSTITUTE(A15, " ", "")), 8) &amp; "*", 'Price list'!F:F, 0)), ""))</f>
        <v>95030020</v>
      </c>
      <c r="J15" s="27">
        <f>IF(ISBLANK(A15), "", IFERROR(IF(ROUND(H15,2)=0.05, INDEX(discount!C:C, IFERROR(MATCH($A$5, discount!A:A, 0), IFERROR(MATCH("*" &amp; LEFT($A$5, 12) &amp; "*", discount!A:A, 0), MATCH("*" &amp; LEFT($A$5, 6) &amp; "*", discount!A:A, 0)))), IF(ROUND(H15,2)=0.18, INDEX(discount!E:E, IFERROR(MATCH($A$5, discount!A:A, 0), IFERROR(MATCH("*" &amp; LEFT($A$5, 12) &amp; "*", discount!A:A, 0), MATCH("*" &amp; LEFT($A$5, 6) &amp; "*", discount!A:A, 0)))), IF(ROUND(H15,2)=0.12, INDEX(discount!D:D, IFERROR(MATCH($A$5, discount!A:A, 0), IFERROR(MATCH("*" &amp; LEFT($A$5, 12) &amp; "*", discount!A:A, 0), MATCH("*" &amp; LEFT($A$5, 6) &amp; "*", discount!A:A, 0)))), IF(ROUND(H15,2)=0.28,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15" s="26">
        <f>IF(ISBLANK(A15), "", ROUND(G15*C15*J15,2))</f>
        <v>2085.2600000000002</v>
      </c>
      <c r="L15" s="26">
        <f>IF(ISBLANK(A15), "", (G15*C15)-K15)</f>
        <v>2108.7399999999998</v>
      </c>
      <c r="M15" s="26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26"/>
    </row>
    <row r="16" spans="1:14" x14ac:dyDescent="0.35">
      <c r="A16" s="28" t="s">
        <v>98</v>
      </c>
      <c r="B16" s="28" t="s">
        <v>287</v>
      </c>
      <c r="C16" s="28">
        <v>6</v>
      </c>
      <c r="D16" s="28">
        <v>1</v>
      </c>
      <c r="E16" s="28">
        <v>1099</v>
      </c>
      <c r="F16" s="28" t="str">
        <f>IF(ISBLANK(A16), "", IFERROR(INDEX('Price list'!B:B, MATCH(LEFT(UPPER(SUBSTITUTE(A16, " ", "")), 8) &amp; "*", 'Price list'!F:F, 0)), ""))</f>
        <v>SMRT1192</v>
      </c>
      <c r="G16" s="28">
        <f>IF(ISBLANK(A16), "", IFERROR(INDEX('Price list'!C:C, MATCH(LEFT(UPPER(SUBSTITUTE(A16, " ", "")), 8) &amp; "*", 'Price list'!F:F, 0)), 0))</f>
        <v>1099</v>
      </c>
      <c r="H16" s="28">
        <f>IF(ISBLANK(A16), "", IFERROR(INDEX('Price list'!E:E, MATCH(LEFT(UPPER(SUBSTITUTE(A16, " ", "")), 8) &amp; "*", 'Price list'!F:F, 0)), 0))</f>
        <v>0.05</v>
      </c>
      <c r="I16" s="28">
        <f>IF(ISBLANK(A16), "", IFERROR(INDEX('Price list'!D:D, MATCH(LEFT(UPPER(SUBSTITUTE(A16, " ", "")), 8) &amp; "*", 'Price list'!F:F, 0)), ""))</f>
        <v>95030020</v>
      </c>
      <c r="J16" s="29">
        <f>IF(ISBLANK(A16), "", IFERROR(IF(ROUND(H16,2)=0.05, INDEX(discount!C:C, IFERROR(MATCH($A$5, discount!A:A, 0), IFERROR(MATCH("*" &amp; LEFT($A$5, 12) &amp; "*", discount!A:A, 0), MATCH("*" &amp; LEFT($A$5, 6) &amp; "*", discount!A:A, 0)))), IF(ROUND(H16,2)=0.18, INDEX(discount!E:E, IFERROR(MATCH($A$5, discount!A:A, 0), IFERROR(MATCH("*" &amp; LEFT($A$5, 12) &amp; "*", discount!A:A, 0), MATCH("*" &amp; LEFT($A$5, 6) &amp; "*", discount!A:A, 0)))), IF(ROUND(H16,2)=0.12, INDEX(discount!D:D, IFERROR(MATCH($A$5, discount!A:A, 0), IFERROR(MATCH("*" &amp; LEFT($A$5, 12) &amp; "*", discount!A:A, 0), MATCH("*" &amp; LEFT($A$5, 6) &amp; "*", discount!A:A, 0)))), IF(ROUND(H16,2)=0.28,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16" s="28">
        <f>IF(ISBLANK(A16), "", ROUND(G16*C16*J16,2))</f>
        <v>3278.54</v>
      </c>
      <c r="L16" s="28">
        <f>IF(ISBLANK(A16), "", (G16*C16)-K16)</f>
        <v>3315.46</v>
      </c>
      <c r="M16" s="26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26"/>
    </row>
    <row r="17" spans="1:14" x14ac:dyDescent="0.35">
      <c r="A17" s="26" t="s">
        <v>154</v>
      </c>
      <c r="B17" s="26" t="s">
        <v>278</v>
      </c>
      <c r="C17" s="26">
        <v>6</v>
      </c>
      <c r="D17" s="26">
        <v>1</v>
      </c>
      <c r="E17" s="26">
        <v>1099</v>
      </c>
      <c r="F17" s="26" t="str">
        <f>IF(ISBLANK(A17), "", IFERROR(INDEX('Price list'!B:B, MATCH(LEFT(UPPER(SUBSTITUTE(A17, " ", "")), 8) &amp; "*", 'Price list'!F:F, 0)), ""))</f>
        <v>SMRT1301</v>
      </c>
      <c r="G17" s="26">
        <f>IF(ISBLANK(A17), "", IFERROR(INDEX('Price list'!C:C, MATCH(LEFT(UPPER(SUBSTITUTE(A17, " ", "")), 8) &amp; "*", 'Price list'!F:F, 0)), 0))</f>
        <v>1099</v>
      </c>
      <c r="H17" s="26">
        <f>IF(ISBLANK(A17), "", IFERROR(INDEX('Price list'!E:E, MATCH(LEFT(UPPER(SUBSTITUTE(A17, " ", "")), 8) &amp; "*", 'Price list'!F:F, 0)), 0))</f>
        <v>0.05</v>
      </c>
      <c r="I17" s="26">
        <f>IF(ISBLANK(A17), "", IFERROR(INDEX('Price list'!D:D, MATCH(LEFT(UPPER(SUBSTITUTE(A17, " ", "")), 8) &amp; "*", 'Price list'!F:F, 0)), ""))</f>
        <v>95030020</v>
      </c>
      <c r="J17" s="27">
        <f>IF(ISBLANK(A17), "", IFERROR(IF(ROUND(H17,2)=0.05, INDEX(discount!C:C, IFERROR(MATCH($A$5, discount!A:A, 0), IFERROR(MATCH("*" &amp; LEFT($A$5, 12) &amp; "*", discount!A:A, 0), MATCH("*" &amp; LEFT($A$5, 6) &amp; "*", discount!A:A, 0)))), IF(ROUND(H17,2)=0.18, INDEX(discount!E:E, IFERROR(MATCH($A$5, discount!A:A, 0), IFERROR(MATCH("*" &amp; LEFT($A$5, 12) &amp; "*", discount!A:A, 0), MATCH("*" &amp; LEFT($A$5, 6) &amp; "*", discount!A:A, 0)))), IF(ROUND(H17,2)=0.12, INDEX(discount!D:D, IFERROR(MATCH($A$5, discount!A:A, 0), IFERROR(MATCH("*" &amp; LEFT($A$5, 12) &amp; "*", discount!A:A, 0), MATCH("*" &amp; LEFT($A$5, 6) &amp; "*", discount!A:A, 0)))), IF(ROUND(H17,2)=0.28,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17" s="26">
        <f>IF(ISBLANK(A17), "", ROUND(G17*C17*J17,2))</f>
        <v>3278.54</v>
      </c>
      <c r="L17" s="26">
        <f>IF(ISBLANK(A17), "", (G17*C17)-K17)</f>
        <v>3315.46</v>
      </c>
      <c r="M17" s="26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26"/>
    </row>
    <row r="18" spans="1:14" x14ac:dyDescent="0.35">
      <c r="A18" s="28" t="s">
        <v>140</v>
      </c>
      <c r="B18" s="28" t="s">
        <v>295</v>
      </c>
      <c r="C18" s="28">
        <v>6</v>
      </c>
      <c r="D18" s="28">
        <v>1</v>
      </c>
      <c r="E18" s="28">
        <v>849</v>
      </c>
      <c r="F18" s="28" t="str">
        <f>IF(ISBLANK(A18), "", IFERROR(INDEX('Price list'!B:B, MATCH(LEFT(UPPER(SUBSTITUTE(A18, " ", "")), 8) &amp; "*", 'Price list'!F:F, 0)), ""))</f>
        <v>SMRT1279</v>
      </c>
      <c r="G18" s="28">
        <f>IF(ISBLANK(A18), "", IFERROR(INDEX('Price list'!C:C, MATCH(LEFT(UPPER(SUBSTITUTE(A18, " ", "")), 8) &amp; "*", 'Price list'!F:F, 0)), 0))</f>
        <v>849</v>
      </c>
      <c r="H18" s="28">
        <f>IF(ISBLANK(A18), "", IFERROR(INDEX('Price list'!E:E, MATCH(LEFT(UPPER(SUBSTITUTE(A18, " ", "")), 8) &amp; "*", 'Price list'!F:F, 0)), 0))</f>
        <v>0.05</v>
      </c>
      <c r="I18" s="28">
        <f>IF(ISBLANK(A18), "", IFERROR(INDEX('Price list'!D:D, MATCH(LEFT(UPPER(SUBSTITUTE(A18, " ", "")), 8) &amp; "*", 'Price list'!F:F, 0)), ""))</f>
        <v>95030020</v>
      </c>
      <c r="J18" s="29">
        <f>IF(ISBLANK(A18), "", IFERROR(IF(ROUND(H18,2)=0.05, INDEX(discount!C:C, IFERROR(MATCH($A$5, discount!A:A, 0), IFERROR(MATCH("*" &amp; LEFT($A$5, 12) &amp; "*", discount!A:A, 0), MATCH("*" &amp; LEFT($A$5, 6) &amp; "*", discount!A:A, 0)))), IF(ROUND(H18,2)=0.18, INDEX(discount!E:E, IFERROR(MATCH($A$5, discount!A:A, 0), IFERROR(MATCH("*" &amp; LEFT($A$5, 12) &amp; "*", discount!A:A, 0), MATCH("*" &amp; LEFT($A$5, 6) &amp; "*", discount!A:A, 0)))), IF(ROUND(H18,2)=0.12, INDEX(discount!D:D, IFERROR(MATCH($A$5, discount!A:A, 0), IFERROR(MATCH("*" &amp; LEFT($A$5, 12) &amp; "*", discount!A:A, 0), MATCH("*" &amp; LEFT($A$5, 6) &amp; "*", discount!A:A, 0)))), IF(ROUND(H18,2)=0.28,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18" s="28">
        <f>IF(ISBLANK(A18), "", ROUND(G18*C18*J18,2))</f>
        <v>2532.7399999999998</v>
      </c>
      <c r="L18" s="28">
        <f>IF(ISBLANK(A18), "", (G18*C18)-K18)</f>
        <v>2561.2600000000002</v>
      </c>
      <c r="M18" s="26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26"/>
    </row>
    <row r="19" spans="1:14" x14ac:dyDescent="0.35">
      <c r="A19" s="26" t="s">
        <v>182</v>
      </c>
      <c r="B19" s="26" t="s">
        <v>296</v>
      </c>
      <c r="C19" s="26">
        <v>6</v>
      </c>
      <c r="D19" s="26">
        <v>1</v>
      </c>
      <c r="E19" s="26">
        <v>799</v>
      </c>
      <c r="F19" s="26" t="str">
        <f>IF(ISBLANK(A19), "", IFERROR(INDEX('Price list'!B:B, MATCH(LEFT(UPPER(SUBSTITUTE(A19, " ", "")), 8) &amp; "*", 'Price list'!F:F, 0)), ""))</f>
        <v>SMRT1347</v>
      </c>
      <c r="G19" s="26">
        <f>IF(ISBLANK(A19), "", IFERROR(INDEX('Price list'!C:C, MATCH(LEFT(UPPER(SUBSTITUTE(A19, " ", "")), 8) &amp; "*", 'Price list'!F:F, 0)), 0))</f>
        <v>799</v>
      </c>
      <c r="H19" s="26">
        <f>IF(ISBLANK(A19), "", IFERROR(INDEX('Price list'!E:E, MATCH(LEFT(UPPER(SUBSTITUTE(A19, " ", "")), 8) &amp; "*", 'Price list'!F:F, 0)), 0))</f>
        <v>0.05</v>
      </c>
      <c r="I19" s="26">
        <f>IF(ISBLANK(A19), "", IFERROR(INDEX('Price list'!D:D, MATCH(LEFT(UPPER(SUBSTITUTE(A19, " ", "")), 8) &amp; "*", 'Price list'!F:F, 0)), ""))</f>
        <v>95030020</v>
      </c>
      <c r="J19" s="27">
        <f>IF(ISBLANK(A19), "", IFERROR(IF(ROUND(H19,2)=0.05, INDEX(discount!C:C, IFERROR(MATCH($A$5, discount!A:A, 0), IFERROR(MATCH("*" &amp; LEFT($A$5, 12) &amp; "*", discount!A:A, 0), MATCH("*" &amp; LEFT($A$5, 6) &amp; "*", discount!A:A, 0)))), IF(ROUND(H19,2)=0.18, INDEX(discount!E:E, IFERROR(MATCH($A$5, discount!A:A, 0), IFERROR(MATCH("*" &amp; LEFT($A$5, 12) &amp; "*", discount!A:A, 0), MATCH("*" &amp; LEFT($A$5, 6) &amp; "*", discount!A:A, 0)))), IF(ROUND(H19,2)=0.12, INDEX(discount!D:D, IFERROR(MATCH($A$5, discount!A:A, 0), IFERROR(MATCH("*" &amp; LEFT($A$5, 12) &amp; "*", discount!A:A, 0), MATCH("*" &amp; LEFT($A$5, 6) &amp; "*", discount!A:A, 0)))), IF(ROUND(H19,2)=0.28,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19" s="26">
        <f>IF(ISBLANK(A19), "", ROUND(G19*C19*J19,2))</f>
        <v>2383.58</v>
      </c>
      <c r="L19" s="26">
        <f>IF(ISBLANK(A19), "", (G19*C19)-K19)</f>
        <v>2410.42</v>
      </c>
      <c r="M19" s="26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26"/>
    </row>
    <row r="20" spans="1:14" x14ac:dyDescent="0.35">
      <c r="A20" s="28" t="s">
        <v>164</v>
      </c>
      <c r="B20" s="28" t="s">
        <v>297</v>
      </c>
      <c r="C20" s="28">
        <v>6</v>
      </c>
      <c r="D20" s="28">
        <v>1</v>
      </c>
      <c r="E20" s="28">
        <v>749</v>
      </c>
      <c r="F20" s="28" t="str">
        <f>IF(ISBLANK(A20), "", IFERROR(INDEX('Price list'!B:B, MATCH(LEFT(UPPER(SUBSTITUTE(A20, " ", "")), 8) &amp; "*", 'Price list'!F:F, 0)), ""))</f>
        <v>SMRT1321</v>
      </c>
      <c r="G20" s="28">
        <f>IF(ISBLANK(A20), "", IFERROR(INDEX('Price list'!C:C, MATCH(LEFT(UPPER(SUBSTITUTE(A20, " ", "")), 8) &amp; "*", 'Price list'!F:F, 0)), 0))</f>
        <v>749</v>
      </c>
      <c r="H20" s="28">
        <f>IF(ISBLANK(A20), "", IFERROR(INDEX('Price list'!E:E, MATCH(LEFT(UPPER(SUBSTITUTE(A20, " ", "")), 8) &amp; "*", 'Price list'!F:F, 0)), 0))</f>
        <v>0.05</v>
      </c>
      <c r="I20" s="28">
        <f>IF(ISBLANK(A20), "", IFERROR(INDEX('Price list'!D:D, MATCH(LEFT(UPPER(SUBSTITUTE(A20, " ", "")), 8) &amp; "*", 'Price list'!F:F, 0)), ""))</f>
        <v>95030020</v>
      </c>
      <c r="J20" s="29">
        <f>IF(ISBLANK(A20), "", IFERROR(IF(ROUND(H20,2)=0.05, INDEX(discount!C:C, IFERROR(MATCH($A$5, discount!A:A, 0), IFERROR(MATCH("*" &amp; LEFT($A$5, 12) &amp; "*", discount!A:A, 0), MATCH("*" &amp; LEFT($A$5, 6) &amp; "*", discount!A:A, 0)))), IF(ROUND(H20,2)=0.18, INDEX(discount!E:E, IFERROR(MATCH($A$5, discount!A:A, 0), IFERROR(MATCH("*" &amp; LEFT($A$5, 12) &amp; "*", discount!A:A, 0), MATCH("*" &amp; LEFT($A$5, 6) &amp; "*", discount!A:A, 0)))), IF(ROUND(H20,2)=0.12, INDEX(discount!D:D, IFERROR(MATCH($A$5, discount!A:A, 0), IFERROR(MATCH("*" &amp; LEFT($A$5, 12) &amp; "*", discount!A:A, 0), MATCH("*" &amp; LEFT($A$5, 6) &amp; "*", discount!A:A, 0)))), IF(ROUND(H20,2)=0.28,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20" s="28">
        <f>IF(ISBLANK(A20), "", ROUND(G20*C20*J20,2))</f>
        <v>2234.42</v>
      </c>
      <c r="L20" s="28">
        <f>IF(ISBLANK(A20), "", (G20*C20)-K20)</f>
        <v>2259.58</v>
      </c>
      <c r="M20" s="26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26"/>
    </row>
    <row r="21" spans="1:14" x14ac:dyDescent="0.35">
      <c r="A21" s="26" t="s">
        <v>180</v>
      </c>
      <c r="B21" s="26" t="s">
        <v>298</v>
      </c>
      <c r="C21" s="26">
        <v>12</v>
      </c>
      <c r="D21" s="26">
        <v>2</v>
      </c>
      <c r="E21" s="26">
        <v>1099</v>
      </c>
      <c r="F21" s="26" t="str">
        <f>IF(ISBLANK(A21), "", IFERROR(INDEX('Price list'!B:B, MATCH(LEFT(UPPER(SUBSTITUTE(A21, " ", "")), 8) &amp; "*", 'Price list'!F:F, 0)), ""))</f>
        <v>SMRT1345</v>
      </c>
      <c r="G21" s="26">
        <f>IF(ISBLANK(A21), "", IFERROR(INDEX('Price list'!C:C, MATCH(LEFT(UPPER(SUBSTITUTE(A21, " ", "")), 8) &amp; "*", 'Price list'!F:F, 0)), 0))</f>
        <v>1099</v>
      </c>
      <c r="H21" s="26">
        <f>IF(ISBLANK(A21), "", IFERROR(INDEX('Price list'!E:E, MATCH(LEFT(UPPER(SUBSTITUTE(A21, " ", "")), 8) &amp; "*", 'Price list'!F:F, 0)), 0))</f>
        <v>0.05</v>
      </c>
      <c r="I21" s="26">
        <f>IF(ISBLANK(A21), "", IFERROR(INDEX('Price list'!D:D, MATCH(LEFT(UPPER(SUBSTITUTE(A21, " ", "")), 8) &amp; "*", 'Price list'!F:F, 0)), ""))</f>
        <v>95030020</v>
      </c>
      <c r="J21" s="27">
        <f>IF(ISBLANK(A21), "", IFERROR(IF(ROUND(H21,2)=0.05, INDEX(discount!C:C, IFERROR(MATCH($A$5, discount!A:A, 0), IFERROR(MATCH("*" &amp; LEFT($A$5, 12) &amp; "*", discount!A:A, 0), MATCH("*" &amp; LEFT($A$5, 6) &amp; "*", discount!A:A, 0)))), IF(ROUND(H21,2)=0.18, INDEX(discount!E:E, IFERROR(MATCH($A$5, discount!A:A, 0), IFERROR(MATCH("*" &amp; LEFT($A$5, 12) &amp; "*", discount!A:A, 0), MATCH("*" &amp; LEFT($A$5, 6) &amp; "*", discount!A:A, 0)))), IF(ROUND(H21,2)=0.12, INDEX(discount!D:D, IFERROR(MATCH($A$5, discount!A:A, 0), IFERROR(MATCH("*" &amp; LEFT($A$5, 12) &amp; "*", discount!A:A, 0), MATCH("*" &amp; LEFT($A$5, 6) &amp; "*", discount!A:A, 0)))), IF(ROUND(H21,2)=0.28,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21" s="26">
        <f>IF(ISBLANK(A21), "", ROUND(G21*C21*J21,2))</f>
        <v>6557.07</v>
      </c>
      <c r="L21" s="26">
        <f>IF(ISBLANK(A21), "", (G21*C21)-K21)</f>
        <v>6630.93</v>
      </c>
      <c r="M21" s="26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26"/>
    </row>
    <row r="22" spans="1:14" ht="15" thickBot="1" x14ac:dyDescent="0.4">
      <c r="A22" s="28" t="s">
        <v>252</v>
      </c>
      <c r="B22" s="28" t="s">
        <v>299</v>
      </c>
      <c r="C22" s="28">
        <v>12</v>
      </c>
      <c r="D22" s="28">
        <v>2</v>
      </c>
      <c r="E22" s="28">
        <v>699</v>
      </c>
      <c r="F22" s="28" t="str">
        <f>IF(ISBLANK(A22), "", IFERROR(INDEX('Price list'!B:B, MATCH(LEFT(UPPER(SUBSTITUTE(A22, " ", "")), 8) &amp; "*", 'Price list'!F:F, 0)), ""))</f>
        <v>SMRT1355</v>
      </c>
      <c r="G22" s="28">
        <f>IF(ISBLANK(A22), "", IFERROR(INDEX('Price list'!C:C, MATCH(LEFT(UPPER(SUBSTITUTE(A22, " ", "")), 8) &amp; "*", 'Price list'!F:F, 0)), 0))</f>
        <v>699</v>
      </c>
      <c r="H22" s="28">
        <f>IF(ISBLANK(A22), "", IFERROR(INDEX('Price list'!E:E, MATCH(LEFT(UPPER(SUBSTITUTE(A22, " ", "")), 8) &amp; "*", 'Price list'!F:F, 0)), 0))</f>
        <v>0.05</v>
      </c>
      <c r="I22" s="28">
        <f>IF(ISBLANK(A22), "", IFERROR(INDEX('Price list'!D:D, MATCH(LEFT(UPPER(SUBSTITUTE(A22, " ", "")), 8) &amp; "*", 'Price list'!F:F, 0)), ""))</f>
        <v>95030020</v>
      </c>
      <c r="J22" s="29">
        <f>IF(ISBLANK(A22), "", IFERROR(IF(ROUND(H22,2)=0.05, INDEX(discount!C:C, IFERROR(MATCH($A$5, discount!A:A, 0), IFERROR(MATCH("*" &amp; LEFT($A$5, 12) &amp; "*", discount!A:A, 0), MATCH("*" &amp; LEFT($A$5, 6) &amp; "*", discount!A:A, 0)))), IF(ROUND(H22,2)=0.18, INDEX(discount!E:E, IFERROR(MATCH($A$5, discount!A:A, 0), IFERROR(MATCH("*" &amp; LEFT($A$5, 12) &amp; "*", discount!A:A, 0), MATCH("*" &amp; LEFT($A$5, 6) &amp; "*", discount!A:A, 0)))), IF(ROUND(H22,2)=0.12, INDEX(discount!D:D, IFERROR(MATCH($A$5, discount!A:A, 0), IFERROR(MATCH("*" &amp; LEFT($A$5, 12) &amp; "*", discount!A:A, 0), MATCH("*" &amp; LEFT($A$5, 6) &amp; "*", discount!A:A, 0)))), IF(ROUND(H22,2)=0.28,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0.49719999999999998</v>
      </c>
      <c r="K22" s="28">
        <f>IF(ISBLANK(A22), "", ROUND(G22*C22*J22,2))</f>
        <v>4170.51</v>
      </c>
      <c r="L22" s="28">
        <f>IF(ISBLANK(A22), "", (G22*C22)-K22)</f>
        <v>4217.49</v>
      </c>
      <c r="M22" s="26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26"/>
    </row>
    <row r="23" spans="1:14" ht="17" thickBot="1" x14ac:dyDescent="0.5">
      <c r="A23" s="11" t="s">
        <v>267</v>
      </c>
      <c r="B23" s="11"/>
      <c r="C23" s="7">
        <f>SUM(C11:C22)</f>
        <v>90</v>
      </c>
      <c r="D23" s="7">
        <f>SUM(D11:D22)</f>
        <v>15</v>
      </c>
      <c r="E23" s="7"/>
      <c r="F23" s="7"/>
      <c r="G23" s="7"/>
      <c r="H23" s="7"/>
      <c r="I23" s="7"/>
      <c r="J23" s="7"/>
      <c r="K23" s="7">
        <f>SUM(K11:K22)</f>
        <v>40976.170000000006</v>
      </c>
      <c r="L23" s="7">
        <f>SUM(L11:L22)</f>
        <v>40413.829999999994</v>
      </c>
      <c r="M23" s="26"/>
      <c r="N23" s="26"/>
    </row>
    <row r="24" spans="1:14" x14ac:dyDescent="0.3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x14ac:dyDescent="0.3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1:14" x14ac:dyDescent="0.3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 x14ac:dyDescent="0.3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4" x14ac:dyDescent="0.3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</row>
    <row r="30" spans="1:14" x14ac:dyDescent="0.3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</row>
    <row r="31" spans="1:14" x14ac:dyDescent="0.3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</row>
    <row r="32" spans="1:14" x14ac:dyDescent="0.3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</row>
    <row r="33" spans="1:14" x14ac:dyDescent="0.3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</row>
    <row r="34" spans="1:14" x14ac:dyDescent="0.3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</row>
    <row r="35" spans="1:14" x14ac:dyDescent="0.3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</row>
    <row r="36" spans="1:14" x14ac:dyDescent="0.3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</row>
    <row r="37" spans="1:14" x14ac:dyDescent="0.3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</row>
    <row r="38" spans="1:14" x14ac:dyDescent="0.3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</row>
    <row r="40" spans="1:14" x14ac:dyDescent="0.3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</row>
    <row r="41" spans="1:14" x14ac:dyDescent="0.3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</row>
    <row r="42" spans="1:14" x14ac:dyDescent="0.3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</row>
    <row r="43" spans="1:14" x14ac:dyDescent="0.3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</row>
    <row r="44" spans="1:14" x14ac:dyDescent="0.3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</row>
    <row r="45" spans="1:14" x14ac:dyDescent="0.3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</row>
    <row r="46" spans="1:14" x14ac:dyDescent="0.3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</row>
    <row r="47" spans="1:14" x14ac:dyDescent="0.3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</row>
    <row r="48" spans="1:14" x14ac:dyDescent="0.3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</row>
    <row r="49" spans="1:14" x14ac:dyDescent="0.3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</row>
    <row r="50" spans="1:14" x14ac:dyDescent="0.3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</row>
    <row r="51" spans="1:14" x14ac:dyDescent="0.3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</row>
    <row r="52" spans="1:14" x14ac:dyDescent="0.3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</row>
    <row r="53" spans="1:14" x14ac:dyDescent="0.3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</row>
    <row r="54" spans="1:14" x14ac:dyDescent="0.3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</row>
    <row r="55" spans="1:14" x14ac:dyDescent="0.3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</row>
    <row r="56" spans="1:14" x14ac:dyDescent="0.3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</row>
    <row r="57" spans="1:14" x14ac:dyDescent="0.3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</row>
    <row r="58" spans="1:14" x14ac:dyDescent="0.3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</row>
    <row r="59" spans="1:14" x14ac:dyDescent="0.3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</row>
    <row r="60" spans="1:14" x14ac:dyDescent="0.3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</row>
    <row r="61" spans="1:14" x14ac:dyDescent="0.3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</row>
    <row r="62" spans="1:14" x14ac:dyDescent="0.3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</row>
    <row r="63" spans="1:14" x14ac:dyDescent="0.3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</row>
    <row r="64" spans="1:14" x14ac:dyDescent="0.3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</row>
    <row r="65" spans="1:14" x14ac:dyDescent="0.3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</row>
    <row r="66" spans="1:14" x14ac:dyDescent="0.3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</row>
    <row r="67" spans="1:14" x14ac:dyDescent="0.3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</row>
    <row r="68" spans="1:14" x14ac:dyDescent="0.3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</row>
    <row r="69" spans="1:14" x14ac:dyDescent="0.3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</row>
    <row r="70" spans="1:14" x14ac:dyDescent="0.3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</row>
    <row r="71" spans="1:14" x14ac:dyDescent="0.3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</row>
    <row r="72" spans="1:14" x14ac:dyDescent="0.3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</row>
    <row r="73" spans="1:14" x14ac:dyDescent="0.3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</row>
    <row r="74" spans="1:14" x14ac:dyDescent="0.3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</row>
    <row r="75" spans="1:14" x14ac:dyDescent="0.3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</row>
    <row r="76" spans="1:14" x14ac:dyDescent="0.3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</row>
    <row r="77" spans="1:14" x14ac:dyDescent="0.3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4" x14ac:dyDescent="0.3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</row>
    <row r="79" spans="1:14" x14ac:dyDescent="0.3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</row>
    <row r="80" spans="1:14" x14ac:dyDescent="0.3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</row>
    <row r="81" spans="1:14" x14ac:dyDescent="0.3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</row>
    <row r="82" spans="1:14" x14ac:dyDescent="0.3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</row>
    <row r="83" spans="1:14" x14ac:dyDescent="0.3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</row>
    <row r="84" spans="1:14" x14ac:dyDescent="0.3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</row>
    <row r="85" spans="1:14" x14ac:dyDescent="0.3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</row>
    <row r="86" spans="1:14" x14ac:dyDescent="0.3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</row>
    <row r="87" spans="1:14" x14ac:dyDescent="0.3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</row>
    <row r="88" spans="1:14" x14ac:dyDescent="0.3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</row>
    <row r="89" spans="1:14" x14ac:dyDescent="0.3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</row>
    <row r="90" spans="1:14" x14ac:dyDescent="0.3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</row>
    <row r="91" spans="1:14" x14ac:dyDescent="0.3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</row>
    <row r="92" spans="1:14" x14ac:dyDescent="0.3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</row>
    <row r="93" spans="1:14" x14ac:dyDescent="0.3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</row>
    <row r="94" spans="1:14" x14ac:dyDescent="0.3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</row>
    <row r="95" spans="1:14" x14ac:dyDescent="0.3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</row>
    <row r="96" spans="1:14" x14ac:dyDescent="0.3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</row>
    <row r="97" spans="1:14" x14ac:dyDescent="0.3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</row>
    <row r="98" spans="1:14" x14ac:dyDescent="0.3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</row>
    <row r="99" spans="1:14" x14ac:dyDescent="0.3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</row>
    <row r="100" spans="1:14" x14ac:dyDescent="0.3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</row>
    <row r="101" spans="1:14" x14ac:dyDescent="0.3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</row>
    <row r="102" spans="1:14" x14ac:dyDescent="0.3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</row>
    <row r="103" spans="1:14" x14ac:dyDescent="0.3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</row>
    <row r="104" spans="1:14" x14ac:dyDescent="0.3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</row>
    <row r="105" spans="1:14" x14ac:dyDescent="0.3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</row>
    <row r="106" spans="1:14" x14ac:dyDescent="0.3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</row>
    <row r="107" spans="1:14" x14ac:dyDescent="0.3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</row>
    <row r="108" spans="1:14" x14ac:dyDescent="0.3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</row>
    <row r="109" spans="1:14" x14ac:dyDescent="0.3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</row>
    <row r="110" spans="1:14" x14ac:dyDescent="0.3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</row>
    <row r="111" spans="1:14" x14ac:dyDescent="0.3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</row>
    <row r="112" spans="1:14" x14ac:dyDescent="0.3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</row>
    <row r="113" spans="1:14" x14ac:dyDescent="0.3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</row>
    <row r="114" spans="1:14" x14ac:dyDescent="0.3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</row>
    <row r="115" spans="1:14" x14ac:dyDescent="0.3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</row>
    <row r="116" spans="1:14" x14ac:dyDescent="0.3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</row>
    <row r="117" spans="1:14" x14ac:dyDescent="0.3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</row>
    <row r="118" spans="1:14" x14ac:dyDescent="0.3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</row>
    <row r="119" spans="1:14" x14ac:dyDescent="0.3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</row>
    <row r="120" spans="1:14" x14ac:dyDescent="0.3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</row>
    <row r="121" spans="1:14" x14ac:dyDescent="0.3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</row>
    <row r="122" spans="1:14" x14ac:dyDescent="0.3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</row>
    <row r="123" spans="1:14" x14ac:dyDescent="0.3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</row>
    <row r="124" spans="1:14" x14ac:dyDescent="0.3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</row>
    <row r="125" spans="1:14" x14ac:dyDescent="0.3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</row>
    <row r="126" spans="1:14" x14ac:dyDescent="0.3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</row>
    <row r="127" spans="1:14" x14ac:dyDescent="0.3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</row>
    <row r="128" spans="1:14" x14ac:dyDescent="0.3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</row>
    <row r="129" spans="1:14" x14ac:dyDescent="0.3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</row>
    <row r="130" spans="1:14" x14ac:dyDescent="0.3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</row>
    <row r="131" spans="1:14" x14ac:dyDescent="0.3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</row>
    <row r="132" spans="1:14" x14ac:dyDescent="0.3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</row>
    <row r="133" spans="1:14" x14ac:dyDescent="0.3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</row>
    <row r="134" spans="1:14" x14ac:dyDescent="0.3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</row>
    <row r="135" spans="1:14" x14ac:dyDescent="0.3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</row>
    <row r="136" spans="1:14" x14ac:dyDescent="0.3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</row>
    <row r="137" spans="1:14" x14ac:dyDescent="0.3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</row>
    <row r="138" spans="1:14" x14ac:dyDescent="0.3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</row>
    <row r="139" spans="1:14" x14ac:dyDescent="0.3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</row>
    <row r="140" spans="1:14" x14ac:dyDescent="0.3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</row>
    <row r="141" spans="1:14" x14ac:dyDescent="0.3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</row>
    <row r="142" spans="1:14" x14ac:dyDescent="0.3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</row>
    <row r="143" spans="1:14" x14ac:dyDescent="0.3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</row>
    <row r="144" spans="1:14" x14ac:dyDescent="0.3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</row>
    <row r="145" spans="1:14" x14ac:dyDescent="0.3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</row>
    <row r="146" spans="1:14" x14ac:dyDescent="0.3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</row>
    <row r="147" spans="1:14" x14ac:dyDescent="0.3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</row>
    <row r="148" spans="1:14" x14ac:dyDescent="0.3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</row>
    <row r="149" spans="1:14" x14ac:dyDescent="0.3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</row>
    <row r="150" spans="1:14" x14ac:dyDescent="0.3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</row>
    <row r="151" spans="1:14" x14ac:dyDescent="0.3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</row>
    <row r="152" spans="1:14" x14ac:dyDescent="0.3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</row>
    <row r="153" spans="1:14" x14ac:dyDescent="0.3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</row>
    <row r="154" spans="1:14" x14ac:dyDescent="0.3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</row>
    <row r="155" spans="1:14" x14ac:dyDescent="0.3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</row>
    <row r="156" spans="1:14" x14ac:dyDescent="0.3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</row>
    <row r="157" spans="1:14" x14ac:dyDescent="0.3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</row>
    <row r="158" spans="1:14" x14ac:dyDescent="0.3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</row>
    <row r="159" spans="1:14" x14ac:dyDescent="0.3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</row>
    <row r="160" spans="1:14" x14ac:dyDescent="0.3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</row>
    <row r="161" spans="1:14" x14ac:dyDescent="0.3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</row>
    <row r="162" spans="1:14" x14ac:dyDescent="0.3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</row>
    <row r="163" spans="1:14" x14ac:dyDescent="0.3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</row>
    <row r="164" spans="1:14" x14ac:dyDescent="0.3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</row>
    <row r="165" spans="1:14" x14ac:dyDescent="0.3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</row>
    <row r="166" spans="1:14" x14ac:dyDescent="0.3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</row>
    <row r="167" spans="1:14" x14ac:dyDescent="0.3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</row>
    <row r="168" spans="1:14" x14ac:dyDescent="0.3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</row>
    <row r="169" spans="1:14" x14ac:dyDescent="0.3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</row>
    <row r="170" spans="1:14" x14ac:dyDescent="0.3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</row>
    <row r="171" spans="1:14" x14ac:dyDescent="0.3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</row>
    <row r="172" spans="1:14" x14ac:dyDescent="0.3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</row>
    <row r="173" spans="1:14" x14ac:dyDescent="0.3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</row>
    <row r="174" spans="1:14" x14ac:dyDescent="0.3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</row>
    <row r="175" spans="1:14" x14ac:dyDescent="0.3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</row>
    <row r="176" spans="1:14" x14ac:dyDescent="0.3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</row>
    <row r="177" spans="1:14" x14ac:dyDescent="0.3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</row>
    <row r="178" spans="1:14" x14ac:dyDescent="0.3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</row>
    <row r="179" spans="1:14" x14ac:dyDescent="0.3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</row>
    <row r="180" spans="1:14" x14ac:dyDescent="0.3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</row>
    <row r="181" spans="1:14" x14ac:dyDescent="0.3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</row>
    <row r="182" spans="1:14" x14ac:dyDescent="0.3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</row>
    <row r="183" spans="1:14" x14ac:dyDescent="0.3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</row>
    <row r="184" spans="1:14" x14ac:dyDescent="0.3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</row>
    <row r="185" spans="1:14" x14ac:dyDescent="0.3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</row>
    <row r="186" spans="1:14" x14ac:dyDescent="0.3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</row>
    <row r="187" spans="1:14" x14ac:dyDescent="0.3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</row>
    <row r="188" spans="1:14" x14ac:dyDescent="0.3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</row>
    <row r="189" spans="1:14" x14ac:dyDescent="0.3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</row>
    <row r="190" spans="1:14" x14ac:dyDescent="0.3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</row>
    <row r="191" spans="1:14" x14ac:dyDescent="0.3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</row>
    <row r="192" spans="1:14" x14ac:dyDescent="0.3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</row>
    <row r="193" spans="1:14" x14ac:dyDescent="0.3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</row>
    <row r="194" spans="1:14" x14ac:dyDescent="0.3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</row>
    <row r="195" spans="1:14" x14ac:dyDescent="0.3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</row>
    <row r="196" spans="1:14" x14ac:dyDescent="0.3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</row>
    <row r="197" spans="1:14" x14ac:dyDescent="0.3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</row>
    <row r="198" spans="1:14" x14ac:dyDescent="0.3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</row>
    <row r="199" spans="1:14" x14ac:dyDescent="0.3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</row>
    <row r="200" spans="1:14" x14ac:dyDescent="0.3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</row>
  </sheetData>
  <mergeCells count="12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  <mergeCell ref="A23:B23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248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255</v>
      </c>
      <c r="B4" s="15"/>
      <c r="C4" s="15"/>
      <c r="D4" s="17" t="s">
        <v>256</v>
      </c>
      <c r="E4" s="18"/>
      <c r="F4" s="17" t="s">
        <v>257</v>
      </c>
      <c r="G4" s="18"/>
      <c r="H4" s="20" t="s">
        <v>258</v>
      </c>
      <c r="I4" s="21"/>
      <c r="J4" s="21"/>
      <c r="K4" s="23" t="s">
        <v>259</v>
      </c>
      <c r="L4" s="24"/>
      <c r="M4" s="24"/>
    </row>
    <row r="5" spans="1:13" ht="22" customHeight="1" x14ac:dyDescent="0.35">
      <c r="A5" s="16" t="s">
        <v>261</v>
      </c>
      <c r="B5" s="15"/>
      <c r="C5" s="15"/>
      <c r="D5" s="19">
        <v>0</v>
      </c>
      <c r="E5" s="18"/>
      <c r="F5" s="19">
        <v>0</v>
      </c>
      <c r="G5" s="18"/>
      <c r="H5" s="22">
        <v>0</v>
      </c>
      <c r="I5" s="21"/>
      <c r="J5" s="21"/>
      <c r="K5" s="25"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29"/>
  <sheetViews>
    <sheetView workbookViewId="0">
      <selection sqref="A1:M2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249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255</v>
      </c>
      <c r="B4" s="15"/>
      <c r="C4" s="15"/>
      <c r="D4" s="17" t="s">
        <v>256</v>
      </c>
      <c r="E4" s="18"/>
      <c r="F4" s="17" t="s">
        <v>257</v>
      </c>
      <c r="G4" s="18"/>
      <c r="H4" s="20" t="s">
        <v>258</v>
      </c>
      <c r="I4" s="21"/>
      <c r="J4" s="21"/>
      <c r="K4" s="23" t="s">
        <v>259</v>
      </c>
      <c r="L4" s="24"/>
      <c r="M4" s="24"/>
    </row>
    <row r="5" spans="1:13" ht="22" customHeight="1" x14ac:dyDescent="0.35">
      <c r="A5" s="16" t="s">
        <v>268</v>
      </c>
      <c r="B5" s="15"/>
      <c r="C5" s="15"/>
      <c r="D5" s="19">
        <f>COUNTA(A11:A28)</f>
        <v>0</v>
      </c>
      <c r="E5" s="18"/>
      <c r="F5" s="19">
        <f>C29</f>
        <v>0</v>
      </c>
      <c r="G5" s="18"/>
      <c r="H5" s="22">
        <f>L29</f>
        <v>0</v>
      </c>
      <c r="I5" s="21"/>
      <c r="J5" s="21"/>
      <c r="K5" s="25">
        <f>K29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5">
      <c r="J11" s="8"/>
    </row>
    <row r="12" spans="1:13" x14ac:dyDescent="0.35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x14ac:dyDescent="0.35">
      <c r="J13" s="8"/>
    </row>
    <row r="14" spans="1:13" x14ac:dyDescent="0.35">
      <c r="A14" s="9"/>
      <c r="B14" s="9"/>
      <c r="C14" s="9"/>
      <c r="D14" s="9"/>
      <c r="E14" s="9"/>
      <c r="F14" s="9"/>
      <c r="G14" s="9"/>
      <c r="H14" s="9"/>
      <c r="I14" s="9"/>
      <c r="J14" s="10"/>
      <c r="K14" s="9"/>
      <c r="L14" s="9"/>
    </row>
    <row r="15" spans="1:13" x14ac:dyDescent="0.35">
      <c r="J15" s="8"/>
    </row>
    <row r="16" spans="1:13" x14ac:dyDescent="0.35">
      <c r="A16" s="9"/>
      <c r="B16" s="9"/>
      <c r="C16" s="9"/>
      <c r="D16" s="9"/>
      <c r="E16" s="9"/>
      <c r="F16" s="9"/>
      <c r="G16" s="9"/>
      <c r="H16" s="9"/>
      <c r="I16" s="9"/>
      <c r="J16" s="10"/>
      <c r="K16" s="9"/>
      <c r="L16" s="9"/>
    </row>
    <row r="17" spans="1:12" x14ac:dyDescent="0.35">
      <c r="J17" s="8"/>
    </row>
    <row r="18" spans="1:12" x14ac:dyDescent="0.35">
      <c r="A18" s="9"/>
      <c r="B18" s="9"/>
      <c r="C18" s="9"/>
      <c r="D18" s="9"/>
      <c r="E18" s="9"/>
      <c r="F18" s="9"/>
      <c r="G18" s="9"/>
      <c r="H18" s="9"/>
      <c r="I18" s="9"/>
      <c r="J18" s="10"/>
      <c r="K18" s="9"/>
      <c r="L18" s="9"/>
    </row>
    <row r="19" spans="1:12" x14ac:dyDescent="0.35">
      <c r="J19" s="8"/>
    </row>
    <row r="20" spans="1:12" x14ac:dyDescent="0.35">
      <c r="A20" s="9"/>
      <c r="B20" s="9"/>
      <c r="C20" s="9"/>
      <c r="D20" s="9"/>
      <c r="E20" s="9"/>
      <c r="F20" s="9"/>
      <c r="G20" s="9"/>
      <c r="H20" s="9"/>
      <c r="I20" s="9"/>
      <c r="J20" s="10"/>
      <c r="K20" s="9"/>
      <c r="L20" s="9"/>
    </row>
    <row r="21" spans="1:12" x14ac:dyDescent="0.35">
      <c r="J21" s="8"/>
    </row>
    <row r="22" spans="1:12" x14ac:dyDescent="0.35">
      <c r="A22" s="9"/>
      <c r="B22" s="9"/>
      <c r="C22" s="9"/>
      <c r="D22" s="9"/>
      <c r="E22" s="9"/>
      <c r="F22" s="9"/>
      <c r="G22" s="9"/>
      <c r="H22" s="9"/>
      <c r="I22" s="9"/>
      <c r="J22" s="10"/>
      <c r="K22" s="9"/>
      <c r="L22" s="9"/>
    </row>
    <row r="23" spans="1:12" x14ac:dyDescent="0.35">
      <c r="J23" s="8"/>
    </row>
    <row r="24" spans="1:12" x14ac:dyDescent="0.35">
      <c r="A24" s="9"/>
      <c r="B24" s="9"/>
      <c r="C24" s="9"/>
      <c r="D24" s="9"/>
      <c r="E24" s="9"/>
      <c r="F24" s="9"/>
      <c r="G24" s="9"/>
      <c r="H24" s="9"/>
      <c r="I24" s="9"/>
      <c r="J24" s="10"/>
      <c r="K24" s="9"/>
      <c r="L24" s="9"/>
    </row>
    <row r="25" spans="1:12" x14ac:dyDescent="0.35">
      <c r="J25" s="8"/>
    </row>
    <row r="26" spans="1:12" x14ac:dyDescent="0.35">
      <c r="A26" s="9"/>
      <c r="B26" s="9"/>
      <c r="C26" s="9"/>
      <c r="D26" s="9"/>
      <c r="E26" s="9"/>
      <c r="F26" s="9"/>
      <c r="G26" s="9"/>
      <c r="H26" s="9"/>
      <c r="I26" s="9"/>
      <c r="J26" s="10"/>
      <c r="K26" s="9"/>
      <c r="L26" s="9"/>
    </row>
    <row r="27" spans="1:12" x14ac:dyDescent="0.35">
      <c r="J27" s="8"/>
    </row>
    <row r="28" spans="1:12" ht="15" thickBot="1" x14ac:dyDescent="0.4">
      <c r="A28" s="9"/>
      <c r="B28" s="9"/>
      <c r="C28" s="9"/>
      <c r="D28" s="9"/>
      <c r="E28" s="9"/>
      <c r="F28" s="9"/>
      <c r="G28" s="9"/>
      <c r="H28" s="9"/>
      <c r="I28" s="9"/>
      <c r="J28" s="10"/>
      <c r="K28" s="9"/>
      <c r="L28" s="9"/>
    </row>
    <row r="29" spans="1:12" ht="17" thickBot="1" x14ac:dyDescent="0.5">
      <c r="A29" s="11"/>
      <c r="B29" s="11"/>
      <c r="C29" s="7"/>
      <c r="D29" s="7"/>
      <c r="E29" s="7"/>
      <c r="F29" s="7"/>
      <c r="G29" s="7"/>
      <c r="H29" s="7"/>
      <c r="I29" s="7"/>
      <c r="J29" s="7"/>
      <c r="K29" s="7"/>
      <c r="L29" s="7"/>
    </row>
  </sheetData>
  <mergeCells count="12">
    <mergeCell ref="A29:B29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255</v>
      </c>
      <c r="B4" s="15"/>
      <c r="C4" s="15"/>
      <c r="D4" s="17" t="s">
        <v>256</v>
      </c>
      <c r="E4" s="18"/>
      <c r="F4" s="17" t="s">
        <v>257</v>
      </c>
      <c r="G4" s="18"/>
      <c r="H4" s="20" t="s">
        <v>258</v>
      </c>
      <c r="I4" s="21"/>
      <c r="J4" s="21"/>
      <c r="K4" s="23" t="s">
        <v>259</v>
      </c>
      <c r="L4" s="24"/>
      <c r="M4" s="24"/>
    </row>
    <row r="5" spans="1:13" ht="22" customHeight="1" x14ac:dyDescent="0.35">
      <c r="A5" s="16" t="s">
        <v>261</v>
      </c>
      <c r="B5" s="15"/>
      <c r="C5" s="15"/>
      <c r="D5" s="19">
        <v>0</v>
      </c>
      <c r="E5" s="18"/>
      <c r="F5" s="19">
        <v>0</v>
      </c>
      <c r="G5" s="18"/>
      <c r="H5" s="22">
        <v>0</v>
      </c>
      <c r="I5" s="21"/>
      <c r="J5" s="21"/>
      <c r="K5" s="25"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"/>
  <sheetViews>
    <sheetView workbookViewId="0">
      <selection activeCell="E1" sqref="E1"/>
    </sheetView>
  </sheetViews>
  <sheetFormatPr defaultRowHeight="14.5" x14ac:dyDescent="0.35"/>
  <cols>
    <col min="1" max="1" width="13.453125" bestFit="1" customWidth="1"/>
    <col min="5" max="5" width="14.453125" bestFit="1" customWidth="1"/>
  </cols>
  <sheetData>
    <row r="1" spans="1:10" x14ac:dyDescent="0.35">
      <c r="A1" t="s">
        <v>285</v>
      </c>
      <c r="B1" t="s">
        <v>269</v>
      </c>
      <c r="C1" t="s">
        <v>270</v>
      </c>
      <c r="D1" t="s">
        <v>2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8"/>
  <sheetViews>
    <sheetView tabSelected="1" workbookViewId="0">
      <selection activeCell="A179" sqref="A179"/>
    </sheetView>
  </sheetViews>
  <sheetFormatPr defaultRowHeight="14.5" x14ac:dyDescent="0.35"/>
  <cols>
    <col min="7" max="7" width="17.4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251</v>
      </c>
      <c r="C176">
        <v>999</v>
      </c>
      <c r="D176">
        <v>95030020</v>
      </c>
      <c r="E176">
        <v>0.05</v>
      </c>
      <c r="F176" t="s">
        <v>251</v>
      </c>
      <c r="G176" s="5">
        <v>8906187980659</v>
      </c>
    </row>
    <row r="177" spans="1:7" x14ac:dyDescent="0.35">
      <c r="A177">
        <v>177</v>
      </c>
      <c r="B177" t="s">
        <v>252</v>
      </c>
      <c r="C177">
        <v>699</v>
      </c>
      <c r="D177">
        <v>95030020</v>
      </c>
      <c r="E177">
        <v>0.05</v>
      </c>
      <c r="F177" t="s">
        <v>252</v>
      </c>
      <c r="G177" s="5">
        <v>8906187980505</v>
      </c>
    </row>
    <row r="178" spans="1:7" x14ac:dyDescent="0.35">
      <c r="A178">
        <v>178</v>
      </c>
      <c r="B178" t="s">
        <v>289</v>
      </c>
      <c r="C178">
        <v>899</v>
      </c>
      <c r="D178">
        <v>95030020</v>
      </c>
      <c r="E178">
        <v>0.05</v>
      </c>
      <c r="F178" t="s">
        <v>289</v>
      </c>
      <c r="G178">
        <v>8906187980543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8"/>
  <sheetViews>
    <sheetView workbookViewId="0">
      <selection activeCell="G1" sqref="G1"/>
    </sheetView>
  </sheetViews>
  <sheetFormatPr defaultRowHeight="14.5" x14ac:dyDescent="0.35"/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5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5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5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5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5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5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5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5">
      <c r="A21" t="s">
        <v>215</v>
      </c>
      <c r="B21" t="s">
        <v>215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5">
      <c r="A22" t="s">
        <v>216</v>
      </c>
      <c r="B22" t="s">
        <v>216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5">
      <c r="A23" t="s">
        <v>217</v>
      </c>
      <c r="B23" t="s">
        <v>217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5">
      <c r="A24" t="s">
        <v>218</v>
      </c>
      <c r="B24" t="s">
        <v>218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5">
      <c r="A25" t="s">
        <v>219</v>
      </c>
      <c r="B25" t="s">
        <v>219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5">
      <c r="A26" t="s">
        <v>220</v>
      </c>
      <c r="B26" t="s">
        <v>220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5">
      <c r="A27" t="s">
        <v>221</v>
      </c>
      <c r="B27" t="s">
        <v>221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5">
      <c r="A28" t="s">
        <v>222</v>
      </c>
      <c r="B28" t="s">
        <v>222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5">
      <c r="A29" t="s">
        <v>223</v>
      </c>
      <c r="B29" t="s">
        <v>223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5">
      <c r="A30" t="s">
        <v>224</v>
      </c>
      <c r="B30" t="s">
        <v>224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5">
      <c r="A31" t="s">
        <v>225</v>
      </c>
      <c r="B31" t="s">
        <v>225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5">
      <c r="A32" t="s">
        <v>226</v>
      </c>
      <c r="B32" t="s">
        <v>226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5">
      <c r="A33" t="s">
        <v>227</v>
      </c>
      <c r="B33" t="s">
        <v>227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5">
      <c r="A34" t="s">
        <v>228</v>
      </c>
      <c r="B34" t="s">
        <v>228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5">
      <c r="A35" t="s">
        <v>229</v>
      </c>
      <c r="B35" t="s">
        <v>229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5">
      <c r="A36" t="s">
        <v>230</v>
      </c>
      <c r="B36" t="s">
        <v>230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5">
      <c r="A37" t="s">
        <v>231</v>
      </c>
      <c r="B37" t="s">
        <v>231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5">
      <c r="A38" t="s">
        <v>232</v>
      </c>
      <c r="B38" t="s">
        <v>232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5">
      <c r="A39" t="s">
        <v>233</v>
      </c>
      <c r="B39" t="s">
        <v>233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5">
      <c r="A40" t="s">
        <v>234</v>
      </c>
      <c r="B40" t="s">
        <v>234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5">
      <c r="A41" t="s">
        <v>235</v>
      </c>
      <c r="B41" t="s">
        <v>235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5">
      <c r="A42" t="s">
        <v>236</v>
      </c>
      <c r="B42" t="s">
        <v>236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5">
      <c r="A43" t="s">
        <v>253</v>
      </c>
      <c r="B43" t="s">
        <v>253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5">
      <c r="A44" t="s">
        <v>254</v>
      </c>
      <c r="B44" t="s">
        <v>254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5">
      <c r="A45" t="s">
        <v>262</v>
      </c>
      <c r="B45" t="s">
        <v>262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263</v>
      </c>
      <c r="B46" t="s">
        <v>263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264</v>
      </c>
      <c r="B47" t="s">
        <v>264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265</v>
      </c>
      <c r="B48" t="s">
        <v>265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266</v>
      </c>
      <c r="B49" t="s">
        <v>266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277</v>
      </c>
      <c r="B50" t="s">
        <v>277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279</v>
      </c>
      <c r="B51" t="s">
        <v>279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280</v>
      </c>
      <c r="B52" t="s">
        <v>280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281</v>
      </c>
      <c r="B53" t="s">
        <v>281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282</v>
      </c>
      <c r="B54" t="s">
        <v>282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283</v>
      </c>
      <c r="B55" t="s">
        <v>283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5">
      <c r="A56" t="s">
        <v>214</v>
      </c>
      <c r="B56" t="s">
        <v>214</v>
      </c>
      <c r="C56">
        <v>0.47620000000000001</v>
      </c>
      <c r="D56">
        <v>0</v>
      </c>
      <c r="E56">
        <v>0.53390000000000004</v>
      </c>
      <c r="F56">
        <v>0</v>
      </c>
    </row>
    <row r="57" spans="1:6" x14ac:dyDescent="0.35">
      <c r="A57" t="s">
        <v>284</v>
      </c>
      <c r="B57" t="s">
        <v>284</v>
      </c>
      <c r="C57">
        <v>0.42859999999999998</v>
      </c>
      <c r="D57">
        <v>0</v>
      </c>
      <c r="E57">
        <v>0.49149999999999999</v>
      </c>
      <c r="F57">
        <v>0</v>
      </c>
    </row>
    <row r="58" spans="1:6" x14ac:dyDescent="0.35">
      <c r="A58" t="s">
        <v>286</v>
      </c>
      <c r="C58">
        <v>0.42859999999999998</v>
      </c>
      <c r="D58">
        <v>0</v>
      </c>
      <c r="E58">
        <v>0.49149999999999999</v>
      </c>
      <c r="F58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2026-09-19T11:00:13Z</dcterms:modified>
</cp:coreProperties>
</file>