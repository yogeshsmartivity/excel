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My Project\Excel\"/>
    </mc:Choice>
  </mc:AlternateContent>
  <xr:revisionPtr revIDLastSave="0" documentId="13_ncr:1_{16D860F5-1088-47F8-8C7E-68CA64569F0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Amit Order" sheetId="1" r:id="rId1"/>
    <sheet name="Blinkit Order" sheetId="2" r:id="rId2"/>
    <sheet name="Firstcry Order" sheetId="3" r:id="rId3"/>
    <sheet name="Swiggy Order" sheetId="4" r:id="rId4"/>
    <sheet name="template" sheetId="5" r:id="rId5"/>
    <sheet name="Price list" sheetId="6" r:id="rId6"/>
    <sheet name="discount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8" i="1" l="1"/>
  <c r="C38" i="1"/>
  <c r="I37" i="1"/>
  <c r="H37" i="1"/>
  <c r="G37" i="1"/>
  <c r="F37" i="1"/>
  <c r="I36" i="1"/>
  <c r="H36" i="1"/>
  <c r="G36" i="1"/>
  <c r="F36" i="1"/>
  <c r="I35" i="1"/>
  <c r="H35" i="1"/>
  <c r="G35" i="1"/>
  <c r="F35" i="1"/>
  <c r="I34" i="1"/>
  <c r="H34" i="1"/>
  <c r="G34" i="1"/>
  <c r="K34" i="1" s="1"/>
  <c r="F34" i="1"/>
  <c r="I33" i="1"/>
  <c r="H33" i="1"/>
  <c r="G33" i="1"/>
  <c r="K33" i="1" s="1"/>
  <c r="L33" i="1" s="1"/>
  <c r="F33" i="1"/>
  <c r="I32" i="1"/>
  <c r="H32" i="1"/>
  <c r="G32" i="1"/>
  <c r="F32" i="1"/>
  <c r="I31" i="1"/>
  <c r="H31" i="1"/>
  <c r="G31" i="1"/>
  <c r="F31" i="1"/>
  <c r="I30" i="1"/>
  <c r="H30" i="1"/>
  <c r="G30" i="1"/>
  <c r="F30" i="1"/>
  <c r="I29" i="1"/>
  <c r="H29" i="1"/>
  <c r="G29" i="1"/>
  <c r="K29" i="1" s="1"/>
  <c r="F29" i="1"/>
  <c r="I28" i="1"/>
  <c r="H28" i="1"/>
  <c r="G28" i="1"/>
  <c r="F28" i="1"/>
  <c r="I27" i="1"/>
  <c r="H27" i="1"/>
  <c r="G27" i="1"/>
  <c r="F27" i="1"/>
  <c r="I26" i="1"/>
  <c r="H26" i="1"/>
  <c r="G26" i="1"/>
  <c r="F26" i="1"/>
  <c r="I25" i="1"/>
  <c r="H25" i="1"/>
  <c r="G25" i="1"/>
  <c r="F25" i="1"/>
  <c r="I24" i="1"/>
  <c r="H24" i="1"/>
  <c r="G24" i="1"/>
  <c r="K24" i="1" s="1"/>
  <c r="F24" i="1"/>
  <c r="I23" i="1"/>
  <c r="H23" i="1"/>
  <c r="G23" i="1"/>
  <c r="K23" i="1" s="1"/>
  <c r="L23" i="1" s="1"/>
  <c r="F23" i="1"/>
  <c r="I22" i="1"/>
  <c r="H22" i="1"/>
  <c r="G22" i="1"/>
  <c r="F22" i="1"/>
  <c r="I21" i="1"/>
  <c r="H21" i="1"/>
  <c r="G21" i="1"/>
  <c r="F21" i="1"/>
  <c r="I20" i="1"/>
  <c r="H20" i="1"/>
  <c r="G20" i="1"/>
  <c r="F20" i="1"/>
  <c r="I19" i="1"/>
  <c r="H19" i="1"/>
  <c r="G19" i="1"/>
  <c r="K19" i="1" s="1"/>
  <c r="L19" i="1" s="1"/>
  <c r="F19" i="1"/>
  <c r="I18" i="1"/>
  <c r="H18" i="1"/>
  <c r="G18" i="1"/>
  <c r="K18" i="1" s="1"/>
  <c r="F18" i="1"/>
  <c r="I17" i="1"/>
  <c r="H17" i="1"/>
  <c r="G17" i="1"/>
  <c r="F17" i="1"/>
  <c r="I16" i="1"/>
  <c r="H16" i="1"/>
  <c r="G16" i="1"/>
  <c r="F16" i="1"/>
  <c r="I15" i="1"/>
  <c r="H15" i="1"/>
  <c r="G15" i="1"/>
  <c r="K15" i="1" s="1"/>
  <c r="F15" i="1"/>
  <c r="I14" i="1"/>
  <c r="H14" i="1"/>
  <c r="G14" i="1"/>
  <c r="K14" i="1" s="1"/>
  <c r="L14" i="1" s="1"/>
  <c r="F14" i="1"/>
  <c r="I13" i="1"/>
  <c r="H13" i="1"/>
  <c r="G13" i="1"/>
  <c r="F13" i="1"/>
  <c r="I12" i="1"/>
  <c r="H12" i="1"/>
  <c r="G12" i="1"/>
  <c r="F12" i="1"/>
  <c r="I11" i="1"/>
  <c r="H11" i="1"/>
  <c r="G11" i="1"/>
  <c r="K11" i="1" s="1"/>
  <c r="F11" i="1"/>
  <c r="M35" i="1" l="1"/>
  <c r="M22" i="1"/>
  <c r="M17" i="1"/>
  <c r="M19" i="1"/>
  <c r="M14" i="1"/>
  <c r="K20" i="1"/>
  <c r="L20" i="1" s="1"/>
  <c r="K17" i="1"/>
  <c r="L17" i="1" s="1"/>
  <c r="M33" i="1"/>
  <c r="K28" i="1"/>
  <c r="L28" i="1" s="1"/>
  <c r="M11" i="1"/>
  <c r="M20" i="1"/>
  <c r="M25" i="1"/>
  <c r="M27" i="1"/>
  <c r="L34" i="1"/>
  <c r="L29" i="1"/>
  <c r="L11" i="1"/>
  <c r="M30" i="1"/>
  <c r="M12" i="1"/>
  <c r="L15" i="1"/>
  <c r="M21" i="1"/>
  <c r="L24" i="1"/>
  <c r="M26" i="1"/>
  <c r="M31" i="1"/>
  <c r="M36" i="1"/>
  <c r="K27" i="1"/>
  <c r="L27" i="1" s="1"/>
  <c r="K32" i="1"/>
  <c r="L32" i="1" s="1"/>
  <c r="K37" i="1"/>
  <c r="L37" i="1" s="1"/>
  <c r="K13" i="1"/>
  <c r="L13" i="1" s="1"/>
  <c r="K22" i="1"/>
  <c r="L22" i="1" s="1"/>
  <c r="M15" i="1"/>
  <c r="L18" i="1"/>
  <c r="M24" i="1"/>
  <c r="M29" i="1"/>
  <c r="M34" i="1"/>
  <c r="K21" i="1"/>
  <c r="L21" i="1" s="1"/>
  <c r="K26" i="1"/>
  <c r="L26" i="1" s="1"/>
  <c r="K31" i="1"/>
  <c r="L31" i="1" s="1"/>
  <c r="K36" i="1"/>
  <c r="L36" i="1" s="1"/>
  <c r="M16" i="1"/>
  <c r="K16" i="1"/>
  <c r="L16" i="1" s="1"/>
  <c r="M23" i="1"/>
  <c r="K25" i="1"/>
  <c r="L25" i="1" s="1"/>
  <c r="M28" i="1"/>
  <c r="K30" i="1"/>
  <c r="L30" i="1" s="1"/>
  <c r="K35" i="1"/>
  <c r="L35" i="1" s="1"/>
  <c r="K12" i="1"/>
  <c r="M13" i="1"/>
  <c r="M18" i="1"/>
  <c r="M32" i="1"/>
  <c r="M37" i="1"/>
  <c r="K38" i="1" l="1"/>
  <c r="L12" i="1"/>
  <c r="L38" i="1" s="1"/>
</calcChain>
</file>

<file path=xl/sharedStrings.xml><?xml version="1.0" encoding="utf-8"?>
<sst xmlns="http://schemas.openxmlformats.org/spreadsheetml/2006/main" count="568" uniqueCount="285">
  <si>
    <t>SR No</t>
  </si>
  <si>
    <t>SKU</t>
  </si>
  <si>
    <t>Price</t>
  </si>
  <si>
    <t>HSN Code</t>
  </si>
  <si>
    <t>Tax</t>
  </si>
  <si>
    <t>Clean SKU</t>
  </si>
  <si>
    <t>EAN</t>
  </si>
  <si>
    <t>Firstcry</t>
  </si>
  <si>
    <t>Swiggy</t>
  </si>
  <si>
    <t>SMRT1011</t>
  </si>
  <si>
    <t>SMRT1012</t>
  </si>
  <si>
    <t>SMRT1013</t>
  </si>
  <si>
    <t>SMRT1014</t>
  </si>
  <si>
    <t>SMRT1017</t>
  </si>
  <si>
    <t>SMRT1018</t>
  </si>
  <si>
    <t>SMRT1021</t>
  </si>
  <si>
    <t>SMRT1022</t>
  </si>
  <si>
    <t>SMRT1023</t>
  </si>
  <si>
    <t>SMRT1024</t>
  </si>
  <si>
    <t>SMRT1025</t>
  </si>
  <si>
    <t>SMRT1026</t>
  </si>
  <si>
    <t>SMRT1027</t>
  </si>
  <si>
    <t>SMRT1028</t>
  </si>
  <si>
    <t>SMRT1031</t>
  </si>
  <si>
    <t>SMRT1032</t>
  </si>
  <si>
    <t>SMRT1033</t>
  </si>
  <si>
    <t>SMRT1034</t>
  </si>
  <si>
    <t>SMRT1035</t>
  </si>
  <si>
    <t>SMRT1037</t>
  </si>
  <si>
    <t>SMRT1040</t>
  </si>
  <si>
    <t>SMRT1042</t>
  </si>
  <si>
    <t>SMRT1043</t>
  </si>
  <si>
    <t>SMRT1044</t>
  </si>
  <si>
    <t>SMRT1045</t>
  </si>
  <si>
    <t>SMRT1046</t>
  </si>
  <si>
    <t>SMRT1047</t>
  </si>
  <si>
    <t>SMRT1048</t>
  </si>
  <si>
    <t>SMRT1049</t>
  </si>
  <si>
    <t>SMRT1050</t>
  </si>
  <si>
    <t>SMRT1055</t>
  </si>
  <si>
    <t>SMRT1057</t>
  </si>
  <si>
    <t>SMRT1068</t>
  </si>
  <si>
    <t>SMRT1076</t>
  </si>
  <si>
    <t>SMRT1077</t>
  </si>
  <si>
    <t>SMRT1078</t>
  </si>
  <si>
    <t>SMRT1082</t>
  </si>
  <si>
    <t>SMRT1083</t>
  </si>
  <si>
    <t>SMRT1084</t>
  </si>
  <si>
    <t>SMRT1085</t>
  </si>
  <si>
    <t>SMRT1086</t>
  </si>
  <si>
    <t>SMRT1087</t>
  </si>
  <si>
    <t>SMRT1090</t>
  </si>
  <si>
    <t>SMRT1091</t>
  </si>
  <si>
    <t>SMRT1092</t>
  </si>
  <si>
    <t>SMRT1093</t>
  </si>
  <si>
    <t>SMRT1098</t>
  </si>
  <si>
    <t>SMRT1099</t>
  </si>
  <si>
    <t>SMRT1101</t>
  </si>
  <si>
    <t>SMRT1107</t>
  </si>
  <si>
    <t>SMRT1108</t>
  </si>
  <si>
    <t>SMRT1109 (V6)</t>
  </si>
  <si>
    <t>SMRT1109(V6)</t>
  </si>
  <si>
    <t>SMRT1110</t>
  </si>
  <si>
    <t>SMRT1112</t>
  </si>
  <si>
    <t>SMRT1113</t>
  </si>
  <si>
    <t>SMRT1117</t>
  </si>
  <si>
    <t>SMRT1118</t>
  </si>
  <si>
    <t>SMRT1124</t>
  </si>
  <si>
    <t>SMRT1125</t>
  </si>
  <si>
    <t>SMRT1128</t>
  </si>
  <si>
    <t>SMRT1130</t>
  </si>
  <si>
    <t>SMRT1131</t>
  </si>
  <si>
    <t>SMRT1132</t>
  </si>
  <si>
    <t>SMRT1134</t>
  </si>
  <si>
    <t>SMRT1135</t>
  </si>
  <si>
    <t>SMRT1139-18</t>
  </si>
  <si>
    <t>SMRT1163 (V3)</t>
  </si>
  <si>
    <t>SMRT1163(V3)</t>
  </si>
  <si>
    <t>SMRT1165</t>
  </si>
  <si>
    <t>SMRT1168</t>
  </si>
  <si>
    <t>SMRT1169</t>
  </si>
  <si>
    <t>SMRT1174</t>
  </si>
  <si>
    <t>SMRT1175</t>
  </si>
  <si>
    <t>SMRT1176</t>
  </si>
  <si>
    <t>SMRT1177</t>
  </si>
  <si>
    <t>SMRT1178</t>
  </si>
  <si>
    <t>SMRT1179</t>
  </si>
  <si>
    <t>SMRT1180</t>
  </si>
  <si>
    <t>SMRT1181</t>
  </si>
  <si>
    <t>SMRT1182</t>
  </si>
  <si>
    <t>SMRT1183</t>
  </si>
  <si>
    <t>SMRT1184</t>
  </si>
  <si>
    <t>SMRT1186</t>
  </si>
  <si>
    <t>SMRT1187</t>
  </si>
  <si>
    <t>SMRT1188</t>
  </si>
  <si>
    <t>SMRT1189</t>
  </si>
  <si>
    <t>SMRT1190</t>
  </si>
  <si>
    <t>SMRT1191</t>
  </si>
  <si>
    <t>SMRT1192</t>
  </si>
  <si>
    <t>SMRT1197</t>
  </si>
  <si>
    <t>SMRT1204</t>
  </si>
  <si>
    <t>SMRT1206</t>
  </si>
  <si>
    <t>SMRT1209</t>
  </si>
  <si>
    <t>SMRT1214-18</t>
  </si>
  <si>
    <t>SMRT1215 (V2)</t>
  </si>
  <si>
    <t>SMRT1215(V2)</t>
  </si>
  <si>
    <t>SMRT1216</t>
  </si>
  <si>
    <t>SMRT1220</t>
  </si>
  <si>
    <t>SMRT1221 (V2)</t>
  </si>
  <si>
    <t>SMRT1221(V2)</t>
  </si>
  <si>
    <t>SMRT1222</t>
  </si>
  <si>
    <t>SMRT1223</t>
  </si>
  <si>
    <t>SMRT1226</t>
  </si>
  <si>
    <t>SMRT1227</t>
  </si>
  <si>
    <t>SMRT1228</t>
  </si>
  <si>
    <t>SMRT1230-18</t>
  </si>
  <si>
    <t>SMRT1233</t>
  </si>
  <si>
    <t>SMRT1236</t>
  </si>
  <si>
    <t>SMRT1238</t>
  </si>
  <si>
    <t>SMRT1240</t>
  </si>
  <si>
    <t>SMRT1241</t>
  </si>
  <si>
    <t>SMRT1242 V2</t>
  </si>
  <si>
    <t>SMRT1242V2</t>
  </si>
  <si>
    <t>SMRT1244</t>
  </si>
  <si>
    <t>SMRT1245</t>
  </si>
  <si>
    <t>SMRT1246</t>
  </si>
  <si>
    <t>SMRT1253</t>
  </si>
  <si>
    <t>SMRT1254</t>
  </si>
  <si>
    <t>SMRT1260</t>
  </si>
  <si>
    <t>SMRT1262</t>
  </si>
  <si>
    <t>SMRT1268</t>
  </si>
  <si>
    <t>SMRT1269</t>
  </si>
  <si>
    <t>SMRT1270</t>
  </si>
  <si>
    <t>SMRT1271 - Mech Beas</t>
  </si>
  <si>
    <t>SMRT1272</t>
  </si>
  <si>
    <t>SMRT1273</t>
  </si>
  <si>
    <t>SMRT1274</t>
  </si>
  <si>
    <t>SMRT1275</t>
  </si>
  <si>
    <t>SMRT1276</t>
  </si>
  <si>
    <t>SMRT1277</t>
  </si>
  <si>
    <t>SMRT1279</t>
  </si>
  <si>
    <t>SMRT1280</t>
  </si>
  <si>
    <t>SMRT1281</t>
  </si>
  <si>
    <t>SMRT1282</t>
  </si>
  <si>
    <t>SMRT1283 SM</t>
  </si>
  <si>
    <t>SMRT1283SM</t>
  </si>
  <si>
    <t>SMRT1292</t>
  </si>
  <si>
    <t>SMRT1293</t>
  </si>
  <si>
    <t>SMRT1295</t>
  </si>
  <si>
    <t>SMRT1296</t>
  </si>
  <si>
    <t>SMRT1297</t>
  </si>
  <si>
    <t>SMRT1298</t>
  </si>
  <si>
    <t>SMRT1299</t>
  </si>
  <si>
    <t>SMRT1300</t>
  </si>
  <si>
    <t>SMRT1301</t>
  </si>
  <si>
    <t>SMRT1302</t>
  </si>
  <si>
    <t>SMRT1303</t>
  </si>
  <si>
    <t>SMRT1305</t>
  </si>
  <si>
    <t>SMRT1309</t>
  </si>
  <si>
    <t>SMRT1310</t>
  </si>
  <si>
    <t>SMRT1312</t>
  </si>
  <si>
    <t>SMRT1313</t>
  </si>
  <si>
    <t>SMRT1315</t>
  </si>
  <si>
    <t>SMRT1320</t>
  </si>
  <si>
    <t>SMRT1321</t>
  </si>
  <si>
    <t>SMRT1322</t>
  </si>
  <si>
    <t>SMRT1323</t>
  </si>
  <si>
    <t>SMRT1324</t>
  </si>
  <si>
    <t>SMRT1325</t>
  </si>
  <si>
    <t>SMRT1326</t>
  </si>
  <si>
    <t>SMRT1328</t>
  </si>
  <si>
    <t>SMRT1329</t>
  </si>
  <si>
    <t>SMRT1333</t>
  </si>
  <si>
    <t>SMRT1334</t>
  </si>
  <si>
    <t>SMRT1335</t>
  </si>
  <si>
    <t>SMRT1336</t>
  </si>
  <si>
    <t>SMRT1337</t>
  </si>
  <si>
    <t>SMRT1339</t>
  </si>
  <si>
    <t>SMRT1340</t>
  </si>
  <si>
    <t>SMRT1344</t>
  </si>
  <si>
    <t>SMRT1345</t>
  </si>
  <si>
    <t>SMRT1346</t>
  </si>
  <si>
    <t>SMRT1347</t>
  </si>
  <si>
    <t>SMRT1348</t>
  </si>
  <si>
    <t>SMRT1364</t>
  </si>
  <si>
    <t>SMRT1350</t>
  </si>
  <si>
    <t>SMRT1358</t>
  </si>
  <si>
    <t>SMRT1360</t>
  </si>
  <si>
    <t>SMRT1369</t>
  </si>
  <si>
    <t>Party Name</t>
  </si>
  <si>
    <t>Clean Party</t>
  </si>
  <si>
    <t>Discount 5%</t>
  </si>
  <si>
    <t>Discount 12%</t>
  </si>
  <si>
    <t>Discount 18%</t>
  </si>
  <si>
    <t>Discount 28%</t>
  </si>
  <si>
    <t>APEX ENTERPRISES</t>
  </si>
  <si>
    <t>BLINK COMMERCE PRIVATE LIMITED</t>
  </si>
  <si>
    <t>Jupiter Kart Private Limited</t>
  </si>
  <si>
    <t>Moksh Enterprises Private Limited</t>
  </si>
  <si>
    <t>Cloudkart Ventures Private Limited</t>
  </si>
  <si>
    <t>Cloudstore Retail Private Limited</t>
  </si>
  <si>
    <t>PJTJ Technologies Private Limited</t>
  </si>
  <si>
    <t>ARCADE TRADING</t>
  </si>
  <si>
    <t>ZENTRIX INDIA PRIVATE LIMITED</t>
  </si>
  <si>
    <t>PUSHP CREATIONS</t>
  </si>
  <si>
    <t>MECTRONIC</t>
  </si>
  <si>
    <t>PAL TRADELINK</t>
  </si>
  <si>
    <t>ADVIRAA</t>
  </si>
  <si>
    <t>RK Enterprises</t>
  </si>
  <si>
    <t>Pune Rural Marketing</t>
  </si>
  <si>
    <t>POOJA SALES CORP</t>
  </si>
  <si>
    <t>OZI TECHNOLOGIES PRIVATE LIMITED</t>
  </si>
  <si>
    <t>GOOD LUCK AGENCIES</t>
  </si>
  <si>
    <t>G MARKETING</t>
  </si>
  <si>
    <t>RAMDEV STATIONERY SPORTS GIFTS &amp; TOYS</t>
  </si>
  <si>
    <t>R &amp; S ENTERPRISES</t>
  </si>
  <si>
    <t>ELARA AND COMPANY</t>
  </si>
  <si>
    <t>SPILLBOX INNOVATION PRIVATE LIMITED</t>
  </si>
  <si>
    <t>MAA ENTERPRISES</t>
  </si>
  <si>
    <t>BANSAL BOOK AND STATIONERS</t>
  </si>
  <si>
    <t>TOYS TOWN</t>
  </si>
  <si>
    <t>SHREE BALAJI ENTERPRISES</t>
  </si>
  <si>
    <t>BABA SALES</t>
  </si>
  <si>
    <t>EQUATOR TRADE HOUSE</t>
  </si>
  <si>
    <t>THEME AMBIENCE ENTERPRISES PRIVATE LIMITED</t>
  </si>
  <si>
    <t>TEJAL INTERNATIONAL</t>
  </si>
  <si>
    <t>MILLENNIUM INTERNATIONAL</t>
  </si>
  <si>
    <t>SK ENTERPRISE</t>
  </si>
  <si>
    <t>SHUBHAM ENTERPRISES</t>
  </si>
  <si>
    <t>ANAND GIFT EMPORIUM</t>
  </si>
  <si>
    <t>RAJESH TRADERS</t>
  </si>
  <si>
    <t>VIJAY SALES</t>
  </si>
  <si>
    <t>ZIPPYCUBS PRIVATE LIMITED</t>
  </si>
  <si>
    <t>SEEMA AND SONS</t>
  </si>
  <si>
    <t>AGGARWAL MARKETING CO.</t>
  </si>
  <si>
    <t>H S ENTERPRISES</t>
  </si>
  <si>
    <t>MODERN AGENCIES</t>
  </si>
  <si>
    <t>Party Name:</t>
  </si>
  <si>
    <t>Order File:</t>
  </si>
  <si>
    <t>SMRT SKU</t>
  </si>
  <si>
    <t>Qty</t>
  </si>
  <si>
    <t>Free Qty</t>
  </si>
  <si>
    <t>Price List SKU</t>
  </si>
  <si>
    <t>Base Price</t>
  </si>
  <si>
    <t>Tax %</t>
  </si>
  <si>
    <t>Discount %</t>
  </si>
  <si>
    <t>Discount Amount</t>
  </si>
  <si>
    <t>Net Amount</t>
  </si>
  <si>
    <t>Item Description</t>
  </si>
  <si>
    <t>Order MRP</t>
  </si>
  <si>
    <t>SMARTIVITY AUTOMATION ENGINE — AMIT ORDER</t>
  </si>
  <si>
    <t>SMARTIVITY AUTOMATION ENGINE — BLINKIT ORDER</t>
  </si>
  <si>
    <t>SMARTIVITY AUTOMATION ENGINE — FIRSTCRY ORDER</t>
  </si>
  <si>
    <t>SMARTIVITY AUTOMATION ENGINE — SWIGGY ORDER</t>
  </si>
  <si>
    <t>SMRT1368</t>
  </si>
  <si>
    <t>SMRT1355</t>
  </si>
  <si>
    <t>Smartivity mechanical hand</t>
  </si>
  <si>
    <t>Electro Play Lab</t>
  </si>
  <si>
    <t>Magic of Science</t>
  </si>
  <si>
    <t>Motor Gadgets</t>
  </si>
  <si>
    <t>Rocket Launcher</t>
  </si>
  <si>
    <t>Table Lamp</t>
  </si>
  <si>
    <t>Missile Truck</t>
  </si>
  <si>
    <t>Solar System</t>
  </si>
  <si>
    <t>Ultimate Marble City</t>
  </si>
  <si>
    <t>Turbo Loop Track</t>
  </si>
  <si>
    <t>GRAND TOTAL</t>
  </si>
  <si>
    <t>Order ORD-260817-2786 - RK Enterprises 17-8=26.pdf</t>
  </si>
  <si>
    <t>Joystick Arcade Maze</t>
  </si>
  <si>
    <t>Smartivity Glow Chemistry</t>
  </si>
  <si>
    <t>Multibuilds - Spin-n- Go Kit</t>
  </si>
  <si>
    <t>STEM Warriors clash of cyborgs</t>
  </si>
  <si>
    <t>Robotic Arm</t>
  </si>
  <si>
    <t>Colour Coder</t>
  </si>
  <si>
    <t>Shape Coder</t>
  </si>
  <si>
    <t>My First Calendar</t>
  </si>
  <si>
    <t>Cherry Blossom Calendar</t>
  </si>
  <si>
    <t>Slide Maze (Quicks)</t>
  </si>
  <si>
    <t>Roll n Match (Quicks)</t>
  </si>
  <si>
    <t>Drawing Machine</t>
  </si>
  <si>
    <t>Spelling Game</t>
  </si>
  <si>
    <t>Smartivity Pump It Move It Hydraulic Crane</t>
  </si>
  <si>
    <t>Mechanical Xylofun Music Fun</t>
  </si>
  <si>
    <t>Smartivity Pinball Machine</t>
  </si>
  <si>
    <t>Cricket Mania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</si>
</sst>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#,##0.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0"/>
      <color theme="1"/>
      <name val="Segoe UI"/>
      <family val="2"/>
    </font>
    <font>
      <b/>
      <sz val="9.5"/>
      <color rgb="FFFFFFFF"/>
      <name val="Segoe UI"/>
      <family val="2"/>
    </font>
    <font>
      <b/>
      <sz val="12"/>
      <color rgb="FFFFFFFF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rgb="FF1E293B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2563E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1E1E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0" fontId="0" fillId="0" borderId="0" xfId="0" applyNumberFormat="1" applyAlignment="1">
      <alignment horizontal="center"/>
    </xf>
    <xf numFmtId="0" fontId="4" fillId="4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0" fillId="5" borderId="0" xfId="0" applyFill="1"/>
    <xf numFmtId="12" fontId="0" fillId="0" borderId="0" xfId="0" applyNumberFormat="1"/>
    <xf numFmtId="0" fontId="2" fillId="6" borderId="2" xfId="0" applyFont="1" applyFill="1" applyBorder="1" applyAlignment="1">
      <alignment horizontal="center"/>
    </xf>
    <xf numFmtId="164" fontId="2" fillId="6" borderId="2" xfId="0" applyNumberFormat="1" applyFont="1" applyFill="1" applyBorder="1"/>
    <xf numFmtId="0" fontId="2" fillId="6" borderId="2" xfId="0" applyFont="1" applyFill="1" applyBorder="1"/>
    <xf numFmtId="10" fontId="2" fillId="6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5" fillId="2" borderId="0" xfId="0" applyFont="1" applyFill="1" applyAlignment="1">
      <alignment horizontal="center" vertical="center"/>
    </xf>
    <xf numFmtId="0" fontId="2" fillId="6" borderId="2" xfId="0" applyFont="1" applyFill="1" applyBorder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center"/>
    </xf>
    <xf numFmtId="164" fontId="0" fillId="0" borderId="0" xfId="0" applyNumberFormat="1" applyFont="1" applyFill="1"/>
    <xf numFmtId="10" fontId="0" fillId="0" borderId="0" xfId="0" applyNumberFormat="1" applyFont="1" applyFill="1" applyAlignment="1">
      <alignment horizontal="center"/>
    </xf>
    <xf numFmtId="0" fontId="1" fillId="0" borderId="2" xfId="0" applyFont="1" applyFill="1" applyBorder="1" applyAlignment="1">
      <alignment horizontal="center"/>
    </xf>
    <xf numFmtId="164" fontId="1" fillId="0" borderId="2" xfId="0" applyNumberFormat="1" applyFont="1" applyFill="1" applyBorder="1"/>
    <xf numFmtId="0" fontId="1" fillId="0" borderId="2" xfId="0" applyFont="1" applyFill="1" applyBorder="1"/>
    <xf numFmtId="10" fontId="1" fillId="0" borderId="2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2BECE812-8B06-4422-A76E-B7BB75845213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EAA5C03D-3DB8-42E4-81FF-B638365003CE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FB614841-8144-4044-ADCC-3CD8584B9F41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D0CC0281-951C-4ED7-B046-6DF614965318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66B507F8-C676-44AE-9E3F-110023ADF46B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FB23D6FF-5165-4BCC-B574-F9C316C498D8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B314C44-1407-42E7-87D8-75D5103456CA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7D010A55-2029-46F7-BA91-76748CFF20B8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DBB18D86-C348-47F4-BAC7-EFEBC00B7469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6037726C-FC39-4826-BC1D-50AA023E08A5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1C815FE1-9E82-40C5-81E7-D1D7E0692686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5CDEBFDE-2C11-4211-A05B-21FC91463FAD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194C8A3D-F15D-415A-A483-4AB6CEC03F52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D595DF68-38B2-444D-A71E-8D2C6175F773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A184C70-07B3-455F-A919-EE3BED7506B6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345D96D8-E083-4C01-AC66-6AF91BA11429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B325BBDF-117F-4C18-94CC-D323DC625684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88FBBD7A-58B0-4898-A8E2-424E437F58CB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50"/>
  <sheetViews>
    <sheetView tabSelected="1" topLeftCell="A2" zoomScale="50" zoomScaleNormal="50" workbookViewId="0">
      <selection activeCell="Q37" sqref="Q37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4" ht="31.95" customHeight="1" x14ac:dyDescent="0.3">
      <c r="A1" s="14" t="s">
        <v>250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</row>
    <row r="2" spans="1:14" ht="28.05" customHeigh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4" ht="7.95" customHeight="1" x14ac:dyDescent="0.3"/>
    <row r="4" spans="1:14" ht="22.05" customHeight="1" x14ac:dyDescent="0.3">
      <c r="B4" s="5" t="s">
        <v>237</v>
      </c>
      <c r="C4" s="13" t="s">
        <v>208</v>
      </c>
      <c r="D4" s="13"/>
      <c r="E4" s="13"/>
      <c r="F4" s="13"/>
    </row>
    <row r="5" spans="1:14" ht="22.05" customHeight="1" x14ac:dyDescent="0.3">
      <c r="B5" s="5" t="s">
        <v>238</v>
      </c>
      <c r="C5" s="12" t="s">
        <v>267</v>
      </c>
      <c r="D5" s="12"/>
      <c r="E5" s="12"/>
      <c r="F5" s="12"/>
    </row>
    <row r="6" spans="1:14" ht="7.95" customHeight="1" x14ac:dyDescent="0.3"/>
    <row r="10" spans="1:14" ht="24" customHeight="1" x14ac:dyDescent="0.3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4" x14ac:dyDescent="0.3">
      <c r="A11" s="16" t="s">
        <v>120</v>
      </c>
      <c r="B11" s="16" t="s">
        <v>268</v>
      </c>
      <c r="C11" s="17">
        <v>3</v>
      </c>
      <c r="D11" s="17">
        <v>0</v>
      </c>
      <c r="E11" s="18">
        <v>969</v>
      </c>
      <c r="F11" s="16" t="str">
        <f>IF(ISBLANK(A11), "", IFERROR(INDEX('Price list'!B:B, MATCH(LEFT(UPPER(SUBSTITUTE(A11, " ", "")), 8) &amp; "*", 'Price list'!F:F, 0)), ""))</f>
        <v>SMRT1241</v>
      </c>
      <c r="G11" s="18">
        <f>IF(ISBLANK(A11), "", IFERROR(INDEX('Price list'!C:C, MATCH(LEFT(UPPER(SUBSTITUTE(A11, " ", "")), 8) &amp; "*", 'Price list'!F:F, 0)), 0))</f>
        <v>969</v>
      </c>
      <c r="H11" s="19">
        <f>IF(ISBLANK(A11), "", IFERROR(INDEX('Price list'!E:E, MATCH(LEFT(UPPER(SUBSTITUTE(A11, " ", "")), 8) &amp; "*", 'Price list'!F:F, 0)), 0))</f>
        <v>0.05</v>
      </c>
      <c r="I11" s="17">
        <f>IF(ISBLANK(A11), "", IFERROR(INDEX('Price list'!D:D, MATCH(LEFT(UPPER(SUBSTITUTE(A11, " ", "")), 8) &amp; "*", 'Price list'!F:F, 0)), ""))</f>
        <v>95030020</v>
      </c>
      <c r="J11" s="19"/>
      <c r="K11" s="18">
        <f>IF(ISBLANK(A11), "", ROUND(G11*C11*J11,2))</f>
        <v>0</v>
      </c>
      <c r="L11" s="18">
        <f>IF(ISBLANK(A11), "", (G11*C11)-K11)</f>
        <v>2907</v>
      </c>
      <c r="M11" s="16" t="str">
        <f>IF(ISBLANK(A11), "", IF(F11="", "⚠️ SKU not found in Price List", IF(ROUND(E11,2)&lt;&gt;ROUND(G11,2), "⚠️ Price Mismatch! (PO: " &amp; TEXT(E11,"#,##0.00") &amp; ", List: " &amp; TEXT(G11,"#,##0.00") &amp; ")", "✅ OK")))</f>
        <v>✅ OK</v>
      </c>
      <c r="N11" s="16"/>
    </row>
    <row r="12" spans="1:14" x14ac:dyDescent="0.3">
      <c r="A12" s="16" t="s">
        <v>74</v>
      </c>
      <c r="B12" s="16" t="s">
        <v>256</v>
      </c>
      <c r="C12" s="17">
        <v>3</v>
      </c>
      <c r="D12" s="17">
        <v>1</v>
      </c>
      <c r="E12" s="18">
        <v>1249</v>
      </c>
      <c r="F12" s="16" t="str">
        <f>IF(ISBLANK(A12), "", IFERROR(INDEX('Price list'!B:B, MATCH(LEFT(UPPER(SUBSTITUTE(A12, " ", "")), 8) &amp; "*", 'Price list'!F:F, 0)), ""))</f>
        <v>SMRT1135</v>
      </c>
      <c r="G12" s="18">
        <f>IF(ISBLANK(A12), "", IFERROR(INDEX('Price list'!C:C, MATCH(LEFT(UPPER(SUBSTITUTE(A12, " ", "")), 8) &amp; "*", 'Price list'!F:F, 0)), 0))</f>
        <v>1249</v>
      </c>
      <c r="H12" s="19">
        <f>IF(ISBLANK(A12), "", IFERROR(INDEX('Price list'!E:E, MATCH(LEFT(UPPER(SUBSTITUTE(A12, " ", "")), 8) &amp; "*", 'Price list'!F:F, 0)), 0))</f>
        <v>0.05</v>
      </c>
      <c r="I12" s="17">
        <f>IF(ISBLANK(A12), "", IFERROR(INDEX('Price list'!D:D, MATCH(LEFT(UPPER(SUBSTITUTE(A12, " ", "")), 8) &amp; "*", 'Price list'!F:F, 0)), ""))</f>
        <v>95030020</v>
      </c>
      <c r="J12" s="19"/>
      <c r="K12" s="18">
        <f>IF(ISBLANK(A12), "", ROUND(G12*C12*J12,2))</f>
        <v>0</v>
      </c>
      <c r="L12" s="18">
        <f>IF(ISBLANK(A12), "", (G12*C12)-K12)</f>
        <v>3747</v>
      </c>
      <c r="M12" s="16" t="str">
        <f>IF(ISBLANK(A12), "", IF(F12="", "⚠️ SKU not found in Price List", IF(ROUND(E12,2)&lt;&gt;ROUND(G12,2), "⚠️ Price Mismatch! (PO: " &amp; TEXT(E12,"#,##0.00") &amp; ", List: " &amp; TEXT(G12,"#,##0.00") &amp; ")", "✅ OK")))</f>
        <v>✅ OK</v>
      </c>
      <c r="N12" s="16"/>
    </row>
    <row r="13" spans="1:14" x14ac:dyDescent="0.3">
      <c r="A13" s="16" t="s">
        <v>103</v>
      </c>
      <c r="B13" s="16" t="s">
        <v>269</v>
      </c>
      <c r="C13" s="17">
        <v>3</v>
      </c>
      <c r="D13" s="17">
        <v>1</v>
      </c>
      <c r="E13" s="18">
        <v>1099</v>
      </c>
      <c r="F13" s="16" t="str">
        <f>IF(ISBLANK(A13), "", IFERROR(INDEX('Price list'!B:B, MATCH(LEFT(UPPER(SUBSTITUTE(A13, " ", "")), 8) &amp; "*", 'Price list'!F:F, 0)), ""))</f>
        <v>SMRT1214-18</v>
      </c>
      <c r="G13" s="18">
        <f>IF(ISBLANK(A13), "", IFERROR(INDEX('Price list'!C:C, MATCH(LEFT(UPPER(SUBSTITUTE(A13, " ", "")), 8) &amp; "*", 'Price list'!F:F, 0)), 0))</f>
        <v>1099</v>
      </c>
      <c r="H13" s="19">
        <f>IF(ISBLANK(A13), "", IFERROR(INDEX('Price list'!E:E, MATCH(LEFT(UPPER(SUBSTITUTE(A13, " ", "")), 8) &amp; "*", 'Price list'!F:F, 0)), 0))</f>
        <v>0.18</v>
      </c>
      <c r="I13" s="17">
        <f>IF(ISBLANK(A13), "", IFERROR(INDEX('Price list'!D:D, MATCH(LEFT(UPPER(SUBSTITUTE(A13, " ", "")), 8) &amp; "*", 'Price list'!F:F, 0)), ""))</f>
        <v>95030010</v>
      </c>
      <c r="J13" s="19"/>
      <c r="K13" s="18">
        <f>IF(ISBLANK(A13), "", ROUND(G13*C13*J13,2))</f>
        <v>0</v>
      </c>
      <c r="L13" s="18">
        <f>IF(ISBLANK(A13), "", (G13*C13)-K13)</f>
        <v>3297</v>
      </c>
      <c r="M13" s="16" t="str">
        <f>IF(ISBLANK(A13), "", IF(F13="", "⚠️ SKU not found in Price List", IF(ROUND(E13,2)&lt;&gt;ROUND(G13,2), "⚠️ Price Mismatch! (PO: " &amp; TEXT(E13,"#,##0.00") &amp; ", List: " &amp; TEXT(G13,"#,##0.00") &amp; ")", "✅ OK")))</f>
        <v>✅ OK</v>
      </c>
      <c r="N13" s="16"/>
    </row>
    <row r="14" spans="1:14" x14ac:dyDescent="0.3">
      <c r="A14" s="16" t="s">
        <v>115</v>
      </c>
      <c r="B14" s="16" t="s">
        <v>258</v>
      </c>
      <c r="C14" s="17">
        <v>3</v>
      </c>
      <c r="D14" s="17">
        <v>0</v>
      </c>
      <c r="E14" s="18">
        <v>1099</v>
      </c>
      <c r="F14" s="16" t="str">
        <f>IF(ISBLANK(A14), "", IFERROR(INDEX('Price list'!B:B, MATCH(LEFT(UPPER(SUBSTITUTE(A14, " ", "")), 8) &amp; "*", 'Price list'!F:F, 0)), ""))</f>
        <v>SMRT1230-18</v>
      </c>
      <c r="G14" s="18">
        <f>IF(ISBLANK(A14), "", IFERROR(INDEX('Price list'!C:C, MATCH(LEFT(UPPER(SUBSTITUTE(A14, " ", "")), 8) &amp; "*", 'Price list'!F:F, 0)), 0))</f>
        <v>1099</v>
      </c>
      <c r="H14" s="19">
        <f>IF(ISBLANK(A14), "", IFERROR(INDEX('Price list'!E:E, MATCH(LEFT(UPPER(SUBSTITUTE(A14, " ", "")), 8) &amp; "*", 'Price list'!F:F, 0)), 0))</f>
        <v>0.18</v>
      </c>
      <c r="I14" s="17">
        <f>IF(ISBLANK(A14), "", IFERROR(INDEX('Price list'!D:D, MATCH(LEFT(UPPER(SUBSTITUTE(A14, " ", "")), 8) &amp; "*", 'Price list'!F:F, 0)), ""))</f>
        <v>95030010</v>
      </c>
      <c r="J14" s="19"/>
      <c r="K14" s="18">
        <f>IF(ISBLANK(A14), "", ROUND(G14*C14*J14,2))</f>
        <v>0</v>
      </c>
      <c r="L14" s="18">
        <f>IF(ISBLANK(A14), "", (G14*C14)-K14)</f>
        <v>3297</v>
      </c>
      <c r="M14" s="16" t="str">
        <f>IF(ISBLANK(A14), "", IF(F14="", "⚠️ SKU not found in Price List", IF(ROUND(E14,2)&lt;&gt;ROUND(G14,2), "⚠️ Price Mismatch! (PO: " &amp; TEXT(E14,"#,##0.00") &amp; ", List: " &amp; TEXT(G14,"#,##0.00") &amp; ")", "✅ OK")))</f>
        <v>✅ OK</v>
      </c>
      <c r="N14" s="16"/>
    </row>
    <row r="15" spans="1:14" x14ac:dyDescent="0.3">
      <c r="A15" s="16" t="s">
        <v>118</v>
      </c>
      <c r="B15" s="16" t="s">
        <v>270</v>
      </c>
      <c r="C15" s="17">
        <v>3</v>
      </c>
      <c r="D15" s="17">
        <v>0</v>
      </c>
      <c r="E15" s="18">
        <v>1099</v>
      </c>
      <c r="F15" s="16" t="str">
        <f>IF(ISBLANK(A15), "", IFERROR(INDEX('Price list'!B:B, MATCH(LEFT(UPPER(SUBSTITUTE(A15, " ", "")), 8) &amp; "*", 'Price list'!F:F, 0)), ""))</f>
        <v>SMRT1238</v>
      </c>
      <c r="G15" s="18">
        <f>IF(ISBLANK(A15), "", IFERROR(INDEX('Price list'!C:C, MATCH(LEFT(UPPER(SUBSTITUTE(A15, " ", "")), 8) &amp; "*", 'Price list'!F:F, 0)), 0))</f>
        <v>1099</v>
      </c>
      <c r="H15" s="19">
        <f>IF(ISBLANK(A15), "", IFERROR(INDEX('Price list'!E:E, MATCH(LEFT(UPPER(SUBSTITUTE(A15, " ", "")), 8) &amp; "*", 'Price list'!F:F, 0)), 0))</f>
        <v>0.05</v>
      </c>
      <c r="I15" s="17">
        <f>IF(ISBLANK(A15), "", IFERROR(INDEX('Price list'!D:D, MATCH(LEFT(UPPER(SUBSTITUTE(A15, " ", "")), 8) &amp; "*", 'Price list'!F:F, 0)), ""))</f>
        <v>95030020</v>
      </c>
      <c r="J15" s="19"/>
      <c r="K15" s="18">
        <f>IF(ISBLANK(A15), "", ROUND(G15*C15*J15,2))</f>
        <v>0</v>
      </c>
      <c r="L15" s="18">
        <f>IF(ISBLANK(A15), "", (G15*C15)-K15)</f>
        <v>3297</v>
      </c>
      <c r="M15" s="16" t="str">
        <f>IF(ISBLANK(A15), "", IF(F15="", "⚠️ SKU not found in Price List", IF(ROUND(E15,2)&lt;&gt;ROUND(G15,2), "⚠️ Price Mismatch! (PO: " &amp; TEXT(E15,"#,##0.00") &amp; ", List: " &amp; TEXT(G15,"#,##0.00") &amp; ")", "✅ OK")))</f>
        <v>✅ OK</v>
      </c>
      <c r="N15" s="16"/>
    </row>
    <row r="16" spans="1:14" x14ac:dyDescent="0.3">
      <c r="A16" s="16" t="s">
        <v>124</v>
      </c>
      <c r="B16" s="16" t="s">
        <v>259</v>
      </c>
      <c r="C16" s="17">
        <v>3</v>
      </c>
      <c r="D16" s="17">
        <v>1</v>
      </c>
      <c r="E16" s="18">
        <v>1699</v>
      </c>
      <c r="F16" s="16" t="str">
        <f>IF(ISBLANK(A16), "", IFERROR(INDEX('Price list'!B:B, MATCH(LEFT(UPPER(SUBSTITUTE(A16, " ", "")), 8) &amp; "*", 'Price list'!F:F, 0)), ""))</f>
        <v>SMRT1245</v>
      </c>
      <c r="G16" s="18">
        <f>IF(ISBLANK(A16), "", IFERROR(INDEX('Price list'!C:C, MATCH(LEFT(UPPER(SUBSTITUTE(A16, " ", "")), 8) &amp; "*", 'Price list'!F:F, 0)), 0))</f>
        <v>1699</v>
      </c>
      <c r="H16" s="19">
        <f>IF(ISBLANK(A16), "", IFERROR(INDEX('Price list'!E:E, MATCH(LEFT(UPPER(SUBSTITUTE(A16, " ", "")), 8) &amp; "*", 'Price list'!F:F, 0)), 0))</f>
        <v>0.18</v>
      </c>
      <c r="I16" s="17">
        <f>IF(ISBLANK(A16), "", IFERROR(INDEX('Price list'!D:D, MATCH(LEFT(UPPER(SUBSTITUTE(A16, " ", "")), 8) &amp; "*", 'Price list'!F:F, 0)), ""))</f>
        <v>95030010</v>
      </c>
      <c r="J16" s="19"/>
      <c r="K16" s="18">
        <f>IF(ISBLANK(A16), "", ROUND(G16*C16*J16,2))</f>
        <v>0</v>
      </c>
      <c r="L16" s="18">
        <f>IF(ISBLANK(A16), "", (G16*C16)-K16)</f>
        <v>5097</v>
      </c>
      <c r="M16" s="16" t="str">
        <f>IF(ISBLANK(A16), "", IF(F16="", "⚠️ SKU not found in Price List", IF(ROUND(E16,2)&lt;&gt;ROUND(G16,2), "⚠️ Price Mismatch! (PO: " &amp; TEXT(E16,"#,##0.00") &amp; ", List: " &amp; TEXT(G16,"#,##0.00") &amp; ")", "✅ OK")))</f>
        <v>✅ OK</v>
      </c>
      <c r="N16" s="16"/>
    </row>
    <row r="17" spans="1:14" x14ac:dyDescent="0.3">
      <c r="A17" s="16" t="s">
        <v>97</v>
      </c>
      <c r="B17" s="16" t="s">
        <v>271</v>
      </c>
      <c r="C17" s="17">
        <v>3</v>
      </c>
      <c r="D17" s="17">
        <v>0</v>
      </c>
      <c r="E17" s="18">
        <v>869</v>
      </c>
      <c r="F17" s="16" t="str">
        <f>IF(ISBLANK(A17), "", IFERROR(INDEX('Price list'!B:B, MATCH(LEFT(UPPER(SUBSTITUTE(A17, " ", "")), 8) &amp; "*", 'Price list'!F:F, 0)), ""))</f>
        <v>SMRT1191</v>
      </c>
      <c r="G17" s="18">
        <f>IF(ISBLANK(A17), "", IFERROR(INDEX('Price list'!C:C, MATCH(LEFT(UPPER(SUBSTITUTE(A17, " ", "")), 8) &amp; "*", 'Price list'!F:F, 0)), 0))</f>
        <v>869</v>
      </c>
      <c r="H17" s="19">
        <f>IF(ISBLANK(A17), "", IFERROR(INDEX('Price list'!E:E, MATCH(LEFT(UPPER(SUBSTITUTE(A17, " ", "")), 8) &amp; "*", 'Price list'!F:F, 0)), 0))</f>
        <v>0.05</v>
      </c>
      <c r="I17" s="17">
        <f>IF(ISBLANK(A17), "", IFERROR(INDEX('Price list'!D:D, MATCH(LEFT(UPPER(SUBSTITUTE(A17, " ", "")), 8) &amp; "*", 'Price list'!F:F, 0)), ""))</f>
        <v>95030020</v>
      </c>
      <c r="J17" s="19"/>
      <c r="K17" s="18">
        <f>IF(ISBLANK(A17), "", ROUND(G17*C17*J17,2))</f>
        <v>0</v>
      </c>
      <c r="L17" s="18">
        <f>IF(ISBLANK(A17), "", (G17*C17)-K17)</f>
        <v>2607</v>
      </c>
      <c r="M17" s="16" t="str">
        <f>IF(ISBLANK(A17), "", IF(F17="", "⚠️ SKU not found in Price List", IF(ROUND(E17,2)&lt;&gt;ROUND(G17,2), "⚠️ Price Mismatch! (PO: " &amp; TEXT(E17,"#,##0.00") &amp; ", List: " &amp; TEXT(G17,"#,##0.00") &amp; ")", "✅ OK")))</f>
        <v>✅ OK</v>
      </c>
      <c r="N17" s="16"/>
    </row>
    <row r="18" spans="1:14" x14ac:dyDescent="0.3">
      <c r="A18" s="16" t="s">
        <v>106</v>
      </c>
      <c r="B18" s="16" t="s">
        <v>257</v>
      </c>
      <c r="C18" s="17">
        <v>3</v>
      </c>
      <c r="D18" s="17">
        <v>1</v>
      </c>
      <c r="E18" s="18">
        <v>1399</v>
      </c>
      <c r="F18" s="16" t="str">
        <f>IF(ISBLANK(A18), "", IFERROR(INDEX('Price list'!B:B, MATCH(LEFT(UPPER(SUBSTITUTE(A18, " ", "")), 8) &amp; "*", 'Price list'!F:F, 0)), ""))</f>
        <v>SMRT1216</v>
      </c>
      <c r="G18" s="18">
        <f>IF(ISBLANK(A18), "", IFERROR(INDEX('Price list'!C:C, MATCH(LEFT(UPPER(SUBSTITUTE(A18, " ", "")), 8) &amp; "*", 'Price list'!F:F, 0)), 0))</f>
        <v>1399</v>
      </c>
      <c r="H18" s="19">
        <f>IF(ISBLANK(A18), "", IFERROR(INDEX('Price list'!E:E, MATCH(LEFT(UPPER(SUBSTITUTE(A18, " ", "")), 8) &amp; "*", 'Price list'!F:F, 0)), 0))</f>
        <v>0.18</v>
      </c>
      <c r="I18" s="17">
        <f>IF(ISBLANK(A18), "", IFERROR(INDEX('Price list'!D:D, MATCH(LEFT(UPPER(SUBSTITUTE(A18, " ", "")), 8) &amp; "*", 'Price list'!F:F, 0)), ""))</f>
        <v>95030010</v>
      </c>
      <c r="J18" s="19"/>
      <c r="K18" s="18">
        <f>IF(ISBLANK(A18), "", ROUND(G18*C18*J18,2))</f>
        <v>0</v>
      </c>
      <c r="L18" s="18">
        <f>IF(ISBLANK(A18), "", (G18*C18)-K18)</f>
        <v>4197</v>
      </c>
      <c r="M18" s="16" t="str">
        <f>IF(ISBLANK(A18), "", IF(F18="", "⚠️ SKU not found in Price List", IF(ROUND(E18,2)&lt;&gt;ROUND(G18,2), "⚠️ Price Mismatch! (PO: " &amp; TEXT(E18,"#,##0.00") &amp; ", List: " &amp; TEXT(G18,"#,##0.00") &amp; ")", "✅ OK")))</f>
        <v>✅ OK</v>
      </c>
      <c r="N18" s="16"/>
    </row>
    <row r="19" spans="1:14" x14ac:dyDescent="0.3">
      <c r="A19" s="16" t="s">
        <v>168</v>
      </c>
      <c r="B19" s="16" t="s">
        <v>272</v>
      </c>
      <c r="C19" s="17">
        <v>3</v>
      </c>
      <c r="D19" s="17">
        <v>0</v>
      </c>
      <c r="E19" s="18">
        <v>899</v>
      </c>
      <c r="F19" s="16" t="str">
        <f>IF(ISBLANK(A19), "", IFERROR(INDEX('Price list'!B:B, MATCH(LEFT(UPPER(SUBSTITUTE(A19, " ", "")), 8) &amp; "*", 'Price list'!F:F, 0)), ""))</f>
        <v>SMRT1325</v>
      </c>
      <c r="G19" s="18">
        <f>IF(ISBLANK(A19), "", IFERROR(INDEX('Price list'!C:C, MATCH(LEFT(UPPER(SUBSTITUTE(A19, " ", "")), 8) &amp; "*", 'Price list'!F:F, 0)), 0))</f>
        <v>899</v>
      </c>
      <c r="H19" s="19">
        <f>IF(ISBLANK(A19), "", IFERROR(INDEX('Price list'!E:E, MATCH(LEFT(UPPER(SUBSTITUTE(A19, " ", "")), 8) &amp; "*", 'Price list'!F:F, 0)), 0))</f>
        <v>0.05</v>
      </c>
      <c r="I19" s="17">
        <f>IF(ISBLANK(A19), "", IFERROR(INDEX('Price list'!D:D, MATCH(LEFT(UPPER(SUBSTITUTE(A19, " ", "")), 8) &amp; "*", 'Price list'!F:F, 0)), ""))</f>
        <v>95030020</v>
      </c>
      <c r="J19" s="19"/>
      <c r="K19" s="18">
        <f>IF(ISBLANK(A19), "", ROUND(G19*C19*J19,2))</f>
        <v>0</v>
      </c>
      <c r="L19" s="18">
        <f>IF(ISBLANK(A19), "", (G19*C19)-K19)</f>
        <v>2697</v>
      </c>
      <c r="M19" s="16" t="str">
        <f>IF(ISBLANK(A19), "", IF(F19="", "⚠️ SKU not found in Price List", IF(ROUND(E19,2)&lt;&gt;ROUND(G19,2), "⚠️ Price Mismatch! (PO: " &amp; TEXT(E19,"#,##0.00") &amp; ", List: " &amp; TEXT(G19,"#,##0.00") &amp; ")", "✅ OK")))</f>
        <v>✅ OK</v>
      </c>
      <c r="N19" s="16"/>
    </row>
    <row r="20" spans="1:14" x14ac:dyDescent="0.3">
      <c r="A20" s="16" t="s">
        <v>154</v>
      </c>
      <c r="B20" s="16" t="s">
        <v>262</v>
      </c>
      <c r="C20" s="17">
        <v>3</v>
      </c>
      <c r="D20" s="17">
        <v>1</v>
      </c>
      <c r="E20" s="18">
        <v>1099</v>
      </c>
      <c r="F20" s="16" t="str">
        <f>IF(ISBLANK(A20), "", IFERROR(INDEX('Price list'!B:B, MATCH(LEFT(UPPER(SUBSTITUTE(A20, " ", "")), 8) &amp; "*", 'Price list'!F:F, 0)), ""))</f>
        <v>SMRT1301</v>
      </c>
      <c r="G20" s="18">
        <f>IF(ISBLANK(A20), "", IFERROR(INDEX('Price list'!C:C, MATCH(LEFT(UPPER(SUBSTITUTE(A20, " ", "")), 8) &amp; "*", 'Price list'!F:F, 0)), 0))</f>
        <v>1099</v>
      </c>
      <c r="H20" s="19">
        <f>IF(ISBLANK(A20), "", IFERROR(INDEX('Price list'!E:E, MATCH(LEFT(UPPER(SUBSTITUTE(A20, " ", "")), 8) &amp; "*", 'Price list'!F:F, 0)), 0))</f>
        <v>0.05</v>
      </c>
      <c r="I20" s="17">
        <f>IF(ISBLANK(A20), "", IFERROR(INDEX('Price list'!D:D, MATCH(LEFT(UPPER(SUBSTITUTE(A20, " ", "")), 8) &amp; "*", 'Price list'!F:F, 0)), ""))</f>
        <v>95030020</v>
      </c>
      <c r="J20" s="19"/>
      <c r="K20" s="18">
        <f>IF(ISBLANK(A20), "", ROUND(G20*C20*J20,2))</f>
        <v>0</v>
      </c>
      <c r="L20" s="18">
        <f>IF(ISBLANK(A20), "", (G20*C20)-K20)</f>
        <v>3297</v>
      </c>
      <c r="M20" s="16" t="str">
        <f>IF(ISBLANK(A20), "", IF(F20="", "⚠️ SKU not found in Price List", IF(ROUND(E20,2)&lt;&gt;ROUND(G20,2), "⚠️ Price Mismatch! (PO: " &amp; TEXT(E20,"#,##0.00") &amp; ", List: " &amp; TEXT(G20,"#,##0.00") &amp; ")", "✅ OK")))</f>
        <v>✅ OK</v>
      </c>
      <c r="N20" s="16"/>
    </row>
    <row r="21" spans="1:14" x14ac:dyDescent="0.3">
      <c r="A21" s="16" t="s">
        <v>140</v>
      </c>
      <c r="B21" s="16" t="s">
        <v>260</v>
      </c>
      <c r="C21" s="17">
        <v>7</v>
      </c>
      <c r="D21" s="17">
        <v>4</v>
      </c>
      <c r="E21" s="18">
        <v>849</v>
      </c>
      <c r="F21" s="16" t="str">
        <f>IF(ISBLANK(A21), "", IFERROR(INDEX('Price list'!B:B, MATCH(LEFT(UPPER(SUBSTITUTE(A21, " ", "")), 8) &amp; "*", 'Price list'!F:F, 0)), ""))</f>
        <v>SMRT1279</v>
      </c>
      <c r="G21" s="18">
        <f>IF(ISBLANK(A21), "", IFERROR(INDEX('Price list'!C:C, MATCH(LEFT(UPPER(SUBSTITUTE(A21, " ", "")), 8) &amp; "*", 'Price list'!F:F, 0)), 0))</f>
        <v>849</v>
      </c>
      <c r="H21" s="19">
        <f>IF(ISBLANK(A21), "", IFERROR(INDEX('Price list'!E:E, MATCH(LEFT(UPPER(SUBSTITUTE(A21, " ", "")), 8) &amp; "*", 'Price list'!F:F, 0)), 0))</f>
        <v>0.05</v>
      </c>
      <c r="I21" s="17">
        <f>IF(ISBLANK(A21), "", IFERROR(INDEX('Price list'!D:D, MATCH(LEFT(UPPER(SUBSTITUTE(A21, " ", "")), 8) &amp; "*", 'Price list'!F:F, 0)), ""))</f>
        <v>95030020</v>
      </c>
      <c r="J21" s="19"/>
      <c r="K21" s="18">
        <f>IF(ISBLANK(A21), "", ROUND(G21*C21*J21,2))</f>
        <v>0</v>
      </c>
      <c r="L21" s="18">
        <f>IF(ISBLANK(A21), "", (G21*C21)-K21)</f>
        <v>5943</v>
      </c>
      <c r="M21" s="16" t="str">
        <f>IF(ISBLANK(A21), "", IF(F21="", "⚠️ SKU not found in Price List", IF(ROUND(E21,2)&lt;&gt;ROUND(G21,2), "⚠️ Price Mismatch! (PO: " &amp; TEXT(E21,"#,##0.00") &amp; ", List: " &amp; TEXT(G21,"#,##0.00") &amp; ")", "✅ OK")))</f>
        <v>✅ OK</v>
      </c>
      <c r="N21" s="16"/>
    </row>
    <row r="22" spans="1:14" x14ac:dyDescent="0.3">
      <c r="A22" s="16" t="s">
        <v>149</v>
      </c>
      <c r="B22" s="16" t="s">
        <v>261</v>
      </c>
      <c r="C22" s="17">
        <v>4</v>
      </c>
      <c r="D22" s="17">
        <v>2</v>
      </c>
      <c r="E22" s="18">
        <v>1299</v>
      </c>
      <c r="F22" s="16" t="str">
        <f>IF(ISBLANK(A22), "", IFERROR(INDEX('Price list'!B:B, MATCH(LEFT(UPPER(SUBSTITUTE(A22, " ", "")), 8) &amp; "*", 'Price list'!F:F, 0)), ""))</f>
        <v>SMRT1296</v>
      </c>
      <c r="G22" s="18">
        <f>IF(ISBLANK(A22), "", IFERROR(INDEX('Price list'!C:C, MATCH(LEFT(UPPER(SUBSTITUTE(A22, " ", "")), 8) &amp; "*", 'Price list'!F:F, 0)), 0))</f>
        <v>1299</v>
      </c>
      <c r="H22" s="19">
        <f>IF(ISBLANK(A22), "", IFERROR(INDEX('Price list'!E:E, MATCH(LEFT(UPPER(SUBSTITUTE(A22, " ", "")), 8) &amp; "*", 'Price list'!F:F, 0)), 0))</f>
        <v>0.18</v>
      </c>
      <c r="I22" s="17">
        <f>IF(ISBLANK(A22), "", IFERROR(INDEX('Price list'!D:D, MATCH(LEFT(UPPER(SUBSTITUTE(A22, " ", "")), 8) &amp; "*", 'Price list'!F:F, 0)), ""))</f>
        <v>95030010</v>
      </c>
      <c r="J22" s="19"/>
      <c r="K22" s="18">
        <f>IF(ISBLANK(A22), "", ROUND(G22*C22*J22,2))</f>
        <v>0</v>
      </c>
      <c r="L22" s="18">
        <f>IF(ISBLANK(A22), "", (G22*C22)-K22)</f>
        <v>5196</v>
      </c>
      <c r="M22" s="16" t="str">
        <f>IF(ISBLANK(A22), "", IF(F22="", "⚠️ SKU not found in Price List", IF(ROUND(E22,2)&lt;&gt;ROUND(G22,2), "⚠️ Price Mismatch! (PO: " &amp; TEXT(E22,"#,##0.00") &amp; ", List: " &amp; TEXT(G22,"#,##0.00") &amp; ")", "✅ OK")))</f>
        <v>✅ OK</v>
      </c>
      <c r="N22" s="16"/>
    </row>
    <row r="23" spans="1:14" x14ac:dyDescent="0.3">
      <c r="A23" s="16" t="s">
        <v>152</v>
      </c>
      <c r="B23" s="16" t="s">
        <v>273</v>
      </c>
      <c r="C23" s="17">
        <v>32</v>
      </c>
      <c r="D23" s="17">
        <v>7</v>
      </c>
      <c r="E23" s="18">
        <v>599</v>
      </c>
      <c r="F23" s="16" t="str">
        <f>IF(ISBLANK(A23), "", IFERROR(INDEX('Price list'!B:B, MATCH(LEFT(UPPER(SUBSTITUTE(A23, " ", "")), 8) &amp; "*", 'Price list'!F:F, 0)), ""))</f>
        <v>SMRT1299</v>
      </c>
      <c r="G23" s="18">
        <f>IF(ISBLANK(A23), "", IFERROR(INDEX('Price list'!C:C, MATCH(LEFT(UPPER(SUBSTITUTE(A23, " ", "")), 8) &amp; "*", 'Price list'!F:F, 0)), 0))</f>
        <v>599</v>
      </c>
      <c r="H23" s="19">
        <f>IF(ISBLANK(A23), "", IFERROR(INDEX('Price list'!E:E, MATCH(LEFT(UPPER(SUBSTITUTE(A23, " ", "")), 8) &amp; "*", 'Price list'!F:F, 0)), 0))</f>
        <v>0.05</v>
      </c>
      <c r="I23" s="17">
        <f>IF(ISBLANK(A23), "", IFERROR(INDEX('Price list'!D:D, MATCH(LEFT(UPPER(SUBSTITUTE(A23, " ", "")), 8) &amp; "*", 'Price list'!F:F, 0)), ""))</f>
        <v>95030020</v>
      </c>
      <c r="J23" s="19"/>
      <c r="K23" s="18">
        <f>IF(ISBLANK(A23), "", ROUND(G23*C23*J23,2))</f>
        <v>0</v>
      </c>
      <c r="L23" s="18">
        <f>IF(ISBLANK(A23), "", (G23*C23)-K23)</f>
        <v>19168</v>
      </c>
      <c r="M23" s="16" t="str">
        <f>IF(ISBLANK(A23), "", IF(F23="", "⚠️ SKU not found in Price List", IF(ROUND(E23,2)&lt;&gt;ROUND(G23,2), "⚠️ Price Mismatch! (PO: " &amp; TEXT(E23,"#,##0.00") &amp; ", List: " &amp; TEXT(G23,"#,##0.00") &amp; ")", "✅ OK")))</f>
        <v>✅ OK</v>
      </c>
      <c r="N23" s="16"/>
    </row>
    <row r="24" spans="1:14" x14ac:dyDescent="0.3">
      <c r="A24" s="16" t="s">
        <v>175</v>
      </c>
      <c r="B24" s="16" t="s">
        <v>274</v>
      </c>
      <c r="C24" s="17">
        <v>18</v>
      </c>
      <c r="D24" s="17">
        <v>3</v>
      </c>
      <c r="E24" s="18">
        <v>699</v>
      </c>
      <c r="F24" s="16" t="str">
        <f>IF(ISBLANK(A24), "", IFERROR(INDEX('Price list'!B:B, MATCH(LEFT(UPPER(SUBSTITUTE(A24, " ", "")), 8) &amp; "*", 'Price list'!F:F, 0)), ""))</f>
        <v>SMRT1336</v>
      </c>
      <c r="G24" s="18">
        <f>IF(ISBLANK(A24), "", IFERROR(INDEX('Price list'!C:C, MATCH(LEFT(UPPER(SUBSTITUTE(A24, " ", "")), 8) &amp; "*", 'Price list'!F:F, 0)), 0))</f>
        <v>699</v>
      </c>
      <c r="H24" s="19">
        <f>IF(ISBLANK(A24), "", IFERROR(INDEX('Price list'!E:E, MATCH(LEFT(UPPER(SUBSTITUTE(A24, " ", "")), 8) &amp; "*", 'Price list'!F:F, 0)), 0))</f>
        <v>0.05</v>
      </c>
      <c r="I24" s="17">
        <f>IF(ISBLANK(A24), "", IFERROR(INDEX('Price list'!D:D, MATCH(LEFT(UPPER(SUBSTITUTE(A24, " ", "")), 8) &amp; "*", 'Price list'!F:F, 0)), ""))</f>
        <v>95030020</v>
      </c>
      <c r="J24" s="19"/>
      <c r="K24" s="18">
        <f>IF(ISBLANK(A24), "", ROUND(G24*C24*J24,2))</f>
        <v>0</v>
      </c>
      <c r="L24" s="18">
        <f>IF(ISBLANK(A24), "", (G24*C24)-K24)</f>
        <v>12582</v>
      </c>
      <c r="M24" s="16" t="str">
        <f>IF(ISBLANK(A24), "", IF(F24="", "⚠️ SKU not found in Price List", IF(ROUND(E24,2)&lt;&gt;ROUND(G24,2), "⚠️ Price Mismatch! (PO: " &amp; TEXT(E24,"#,##0.00") &amp; ", List: " &amp; TEXT(G24,"#,##0.00") &amp; ")", "✅ OK")))</f>
        <v>✅ OK</v>
      </c>
      <c r="N24" s="16"/>
    </row>
    <row r="25" spans="1:14" x14ac:dyDescent="0.3">
      <c r="A25" s="16" t="s">
        <v>156</v>
      </c>
      <c r="B25" s="16" t="s">
        <v>263</v>
      </c>
      <c r="C25" s="17">
        <v>6</v>
      </c>
      <c r="D25" s="17">
        <v>1</v>
      </c>
      <c r="E25" s="18">
        <v>1149</v>
      </c>
      <c r="F25" s="16" t="str">
        <f>IF(ISBLANK(A25), "", IFERROR(INDEX('Price list'!B:B, MATCH(LEFT(UPPER(SUBSTITUTE(A25, " ", "")), 8) &amp; "*", 'Price list'!F:F, 0)), ""))</f>
        <v>SMRT1303</v>
      </c>
      <c r="G25" s="18">
        <f>IF(ISBLANK(A25), "", IFERROR(INDEX('Price list'!C:C, MATCH(LEFT(UPPER(SUBSTITUTE(A25, " ", "")), 8) &amp; "*", 'Price list'!F:F, 0)), 0))</f>
        <v>1149</v>
      </c>
      <c r="H25" s="19">
        <f>IF(ISBLANK(A25), "", IFERROR(INDEX('Price list'!E:E, MATCH(LEFT(UPPER(SUBSTITUTE(A25, " ", "")), 8) &amp; "*", 'Price list'!F:F, 0)), 0))</f>
        <v>0.05</v>
      </c>
      <c r="I25" s="17">
        <f>IF(ISBLANK(A25), "", IFERROR(INDEX('Price list'!D:D, MATCH(LEFT(UPPER(SUBSTITUTE(A25, " ", "")), 8) &amp; "*", 'Price list'!F:F, 0)), ""))</f>
        <v>95030020</v>
      </c>
      <c r="J25" s="19"/>
      <c r="K25" s="18">
        <f>IF(ISBLANK(A25), "", ROUND(G25*C25*J25,2))</f>
        <v>0</v>
      </c>
      <c r="L25" s="18">
        <f>IF(ISBLANK(A25), "", (G25*C25)-K25)</f>
        <v>6894</v>
      </c>
      <c r="M25" s="16" t="str">
        <f>IF(ISBLANK(A25), "", IF(F25="", "⚠️ SKU not found in Price List", IF(ROUND(E25,2)&lt;&gt;ROUND(G25,2), "⚠️ Price Mismatch! (PO: " &amp; TEXT(E25,"#,##0.00") &amp; ", List: " &amp; TEXT(G25,"#,##0.00") &amp; ")", "✅ OK")))</f>
        <v>✅ OK</v>
      </c>
      <c r="N25" s="16"/>
    </row>
    <row r="26" spans="1:14" ht="15" thickBot="1" x14ac:dyDescent="0.35">
      <c r="A26" s="16" t="s">
        <v>180</v>
      </c>
      <c r="B26" s="16" t="s">
        <v>265</v>
      </c>
      <c r="C26" s="17">
        <v>12</v>
      </c>
      <c r="D26" s="17">
        <v>2</v>
      </c>
      <c r="E26" s="18">
        <v>1099</v>
      </c>
      <c r="F26" s="16" t="str">
        <f>IF(ISBLANK(A26), "", IFERROR(INDEX('Price list'!B:B, MATCH(LEFT(UPPER(SUBSTITUTE(A26, " ", "")), 8) &amp; "*", 'Price list'!F:F, 0)), ""))</f>
        <v>SMRT1345</v>
      </c>
      <c r="G26" s="18">
        <f>IF(ISBLANK(A26), "", IFERROR(INDEX('Price list'!C:C, MATCH(LEFT(UPPER(SUBSTITUTE(A26, " ", "")), 8) &amp; "*", 'Price list'!F:F, 0)), 0))</f>
        <v>1099</v>
      </c>
      <c r="H26" s="19">
        <f>IF(ISBLANK(A26), "", IFERROR(INDEX('Price list'!E:E, MATCH(LEFT(UPPER(SUBSTITUTE(A26, " ", "")), 8) &amp; "*", 'Price list'!F:F, 0)), 0))</f>
        <v>0.05</v>
      </c>
      <c r="I26" s="17">
        <f>IF(ISBLANK(A26), "", IFERROR(INDEX('Price list'!D:D, MATCH(LEFT(UPPER(SUBSTITUTE(A26, " ", "")), 8) &amp; "*", 'Price list'!F:F, 0)), ""))</f>
        <v>95030020</v>
      </c>
      <c r="J26" s="19"/>
      <c r="K26" s="18">
        <f>IF(ISBLANK(A26), "", ROUND(G26*C26*J26,2))</f>
        <v>0</v>
      </c>
      <c r="L26" s="18">
        <f>IF(ISBLANK(A26), "", (G26*C26)-K26)</f>
        <v>13188</v>
      </c>
      <c r="M26" s="16" t="str">
        <f>IF(ISBLANK(A26), "", IF(F26="", "⚠️ SKU not found in Price List", IF(ROUND(E26,2)&lt;&gt;ROUND(G26,2), "⚠️ Price Mismatch! (PO: " &amp; TEXT(E26,"#,##0.00") &amp; ", List: " &amp; TEXT(G26,"#,##0.00") &amp; ")", "✅ OK")))</f>
        <v>✅ OK</v>
      </c>
      <c r="N26" s="16"/>
    </row>
    <row r="27" spans="1:14" ht="17.399999999999999" thickBot="1" x14ac:dyDescent="0.45">
      <c r="A27" s="20" t="s">
        <v>184</v>
      </c>
      <c r="B27" s="20" t="s">
        <v>275</v>
      </c>
      <c r="C27" s="20">
        <v>6</v>
      </c>
      <c r="D27" s="20">
        <v>1</v>
      </c>
      <c r="E27" s="21">
        <v>849</v>
      </c>
      <c r="F27" s="22" t="str">
        <f>IF(ISBLANK(A27), "", IFERROR(INDEX('Price list'!B:B, MATCH(LEFT(UPPER(SUBSTITUTE(A27, " ", "")), 8) &amp; "*", 'Price list'!F:F, 0)), ""))</f>
        <v>SMRT1364</v>
      </c>
      <c r="G27" s="21">
        <f>IF(ISBLANK(A27), "", IFERROR(INDEX('Price list'!C:C, MATCH(LEFT(UPPER(SUBSTITUTE(A27, " ", "")), 8) &amp; "*", 'Price list'!F:F, 0)), 0))</f>
        <v>849</v>
      </c>
      <c r="H27" s="23">
        <f>IF(ISBLANK(A27), "", IFERROR(INDEX('Price list'!E:E, MATCH(LEFT(UPPER(SUBSTITUTE(A27, " ", "")), 8) &amp; "*", 'Price list'!F:F, 0)), 0))</f>
        <v>0.05</v>
      </c>
      <c r="I27" s="20">
        <f>IF(ISBLANK(A27), "", IFERROR(INDEX('Price list'!D:D, MATCH(LEFT(UPPER(SUBSTITUTE(A27, " ", "")), 8) &amp; "*", 'Price list'!F:F, 0)), ""))</f>
        <v>95030020</v>
      </c>
      <c r="J27" s="23"/>
      <c r="K27" s="21">
        <f>IF(ISBLANK(A27), "", ROUND(G27*C27*J27,2))</f>
        <v>0</v>
      </c>
      <c r="L27" s="21">
        <f>IF(ISBLANK(A27), "", (G27*C27)-K27)</f>
        <v>5094</v>
      </c>
      <c r="M27" s="16" t="str">
        <f>IF(ISBLANK(A27), "", IF(F27="", "⚠️ SKU not found in Price List", IF(ROUND(E27,2)&lt;&gt;ROUND(G27,2), "⚠️ Price Mismatch! (PO: " &amp; TEXT(E27,"#,##0.00") &amp; ", List: " &amp; TEXT(G27,"#,##0.00") &amp; ")", "✅ OK")))</f>
        <v>✅ OK</v>
      </c>
      <c r="N27" s="16"/>
    </row>
    <row r="28" spans="1:14" x14ac:dyDescent="0.3">
      <c r="A28" s="16" t="s">
        <v>188</v>
      </c>
      <c r="B28" s="16" t="s">
        <v>276</v>
      </c>
      <c r="C28" s="17">
        <v>6</v>
      </c>
      <c r="D28" s="17">
        <v>1</v>
      </c>
      <c r="E28" s="18">
        <v>799</v>
      </c>
      <c r="F28" s="16" t="str">
        <f>IF(ISBLANK(A28), "", IFERROR(INDEX('Price list'!B:B, MATCH(LEFT(UPPER(SUBSTITUTE(A28, " ", "")), 8) &amp; "*", 'Price list'!F:F, 0)), ""))</f>
        <v>SMRT1369</v>
      </c>
      <c r="G28" s="18">
        <f>IF(ISBLANK(A28), "", IFERROR(INDEX('Price list'!C:C, MATCH(LEFT(UPPER(SUBSTITUTE(A28, " ", "")), 8) &amp; "*", 'Price list'!F:F, 0)), 0))</f>
        <v>799</v>
      </c>
      <c r="H28" s="19">
        <f>IF(ISBLANK(A28), "", IFERROR(INDEX('Price list'!E:E, MATCH(LEFT(UPPER(SUBSTITUTE(A28, " ", "")), 8) &amp; "*", 'Price list'!F:F, 0)), 0))</f>
        <v>0.05</v>
      </c>
      <c r="I28" s="17">
        <f>IF(ISBLANK(A28), "", IFERROR(INDEX('Price list'!D:D, MATCH(LEFT(UPPER(SUBSTITUTE(A28, " ", "")), 8) &amp; "*", 'Price list'!F:F, 0)), ""))</f>
        <v>95030020</v>
      </c>
      <c r="J28" s="19"/>
      <c r="K28" s="18">
        <f>IF(ISBLANK(A28), "", ROUND(G28*C28*J28,2))</f>
        <v>0</v>
      </c>
      <c r="L28" s="18">
        <f>IF(ISBLANK(A28), "", (G28*C28)-K28)</f>
        <v>4794</v>
      </c>
      <c r="M28" s="16" t="str">
        <f>IF(ISBLANK(A28), "", IF(F28="", "⚠️ SKU not found in Price List", IF(ROUND(E28,2)&lt;&gt;ROUND(G28,2), "⚠️ Price Mismatch! (PO: " &amp; TEXT(E28,"#,##0.00") &amp; ", List: " &amp; TEXT(G28,"#,##0.00") &amp; ")", "✅ OK")))</f>
        <v>✅ OK</v>
      </c>
      <c r="N28" s="16"/>
    </row>
    <row r="29" spans="1:14" x14ac:dyDescent="0.3">
      <c r="A29" s="16" t="s">
        <v>186</v>
      </c>
      <c r="B29" s="16" t="s">
        <v>277</v>
      </c>
      <c r="C29" s="17">
        <v>12</v>
      </c>
      <c r="D29" s="17">
        <v>2</v>
      </c>
      <c r="E29" s="18">
        <v>349</v>
      </c>
      <c r="F29" s="16" t="str">
        <f>IF(ISBLANK(A29), "", IFERROR(INDEX('Price list'!B:B, MATCH(LEFT(UPPER(SUBSTITUTE(A29, " ", "")), 8) &amp; "*", 'Price list'!F:F, 0)), ""))</f>
        <v>SMRT1358</v>
      </c>
      <c r="G29" s="18">
        <f>IF(ISBLANK(A29), "", IFERROR(INDEX('Price list'!C:C, MATCH(LEFT(UPPER(SUBSTITUTE(A29, " ", "")), 8) &amp; "*", 'Price list'!F:F, 0)), 0))</f>
        <v>349</v>
      </c>
      <c r="H29" s="19">
        <f>IF(ISBLANK(A29), "", IFERROR(INDEX('Price list'!E:E, MATCH(LEFT(UPPER(SUBSTITUTE(A29, " ", "")), 8) &amp; "*", 'Price list'!F:F, 0)), 0))</f>
        <v>0.05</v>
      </c>
      <c r="I29" s="17">
        <f>IF(ISBLANK(A29), "", IFERROR(INDEX('Price list'!D:D, MATCH(LEFT(UPPER(SUBSTITUTE(A29, " ", "")), 8) &amp; "*", 'Price list'!F:F, 0)), ""))</f>
        <v>95030020</v>
      </c>
      <c r="J29" s="19"/>
      <c r="K29" s="18">
        <f>IF(ISBLANK(A29), "", ROUND(G29*C29*J29,2))</f>
        <v>0</v>
      </c>
      <c r="L29" s="18">
        <f>IF(ISBLANK(A29), "", (G29*C29)-K29)</f>
        <v>4188</v>
      </c>
      <c r="M29" s="16" t="str">
        <f>IF(ISBLANK(A29), "", IF(F29="", "⚠️ SKU not found in Price List", IF(ROUND(E29,2)&lt;&gt;ROUND(G29,2), "⚠️ Price Mismatch! (PO: " &amp; TEXT(E29,"#,##0.00") &amp; ", List: " &amp; TEXT(G29,"#,##0.00") &amp; ")", "✅ OK")))</f>
        <v>✅ OK</v>
      </c>
      <c r="N29" s="16"/>
    </row>
    <row r="30" spans="1:14" x14ac:dyDescent="0.3">
      <c r="A30" s="16" t="s">
        <v>187</v>
      </c>
      <c r="B30" s="16" t="s">
        <v>278</v>
      </c>
      <c r="C30" s="17">
        <v>12</v>
      </c>
      <c r="D30" s="17">
        <v>2</v>
      </c>
      <c r="E30" s="18">
        <v>299</v>
      </c>
      <c r="F30" s="16" t="str">
        <f>IF(ISBLANK(A30), "", IFERROR(INDEX('Price list'!B:B, MATCH(LEFT(UPPER(SUBSTITUTE(A30, " ", "")), 8) &amp; "*", 'Price list'!F:F, 0)), ""))</f>
        <v>SMRT1360</v>
      </c>
      <c r="G30" s="18">
        <f>IF(ISBLANK(A30), "", IFERROR(INDEX('Price list'!C:C, MATCH(LEFT(UPPER(SUBSTITUTE(A30, " ", "")), 8) &amp; "*", 'Price list'!F:F, 0)), 0))</f>
        <v>299</v>
      </c>
      <c r="H30" s="19">
        <f>IF(ISBLANK(A30), "", IFERROR(INDEX('Price list'!E:E, MATCH(LEFT(UPPER(SUBSTITUTE(A30, " ", "")), 8) &amp; "*", 'Price list'!F:F, 0)), 0))</f>
        <v>0.05</v>
      </c>
      <c r="I30" s="17">
        <f>IF(ISBLANK(A30), "", IFERROR(INDEX('Price list'!D:D, MATCH(LEFT(UPPER(SUBSTITUTE(A30, " ", "")), 8) &amp; "*", 'Price list'!F:F, 0)), ""))</f>
        <v>95030020</v>
      </c>
      <c r="J30" s="19"/>
      <c r="K30" s="18">
        <f>IF(ISBLANK(A30), "", ROUND(G30*C30*J30,2))</f>
        <v>0</v>
      </c>
      <c r="L30" s="18">
        <f>IF(ISBLANK(A30), "", (G30*C30)-K30)</f>
        <v>3588</v>
      </c>
      <c r="M30" s="16" t="str">
        <f>IF(ISBLANK(A30), "", IF(F30="", "⚠️ SKU not found in Price List", IF(ROUND(E30,2)&lt;&gt;ROUND(G30,2), "⚠️ Price Mismatch! (PO: " &amp; TEXT(E30,"#,##0.00") &amp; ", List: " &amp; TEXT(G30,"#,##0.00") &amp; ")", "✅ OK")))</f>
        <v>✅ OK</v>
      </c>
      <c r="N30" s="16"/>
    </row>
    <row r="31" spans="1:14" x14ac:dyDescent="0.3">
      <c r="A31" s="16" t="s">
        <v>185</v>
      </c>
      <c r="B31" s="16" t="s">
        <v>279</v>
      </c>
      <c r="C31" s="17">
        <v>12</v>
      </c>
      <c r="D31" s="17">
        <v>2</v>
      </c>
      <c r="E31" s="18">
        <v>1199</v>
      </c>
      <c r="F31" s="16" t="str">
        <f>IF(ISBLANK(A31), "", IFERROR(INDEX('Price list'!B:B, MATCH(LEFT(UPPER(SUBSTITUTE(A31, " ", "")), 8) &amp; "*", 'Price list'!F:F, 0)), ""))</f>
        <v>SMRT1350</v>
      </c>
      <c r="G31" s="18">
        <f>IF(ISBLANK(A31), "", IFERROR(INDEX('Price list'!C:C, MATCH(LEFT(UPPER(SUBSTITUTE(A31, " ", "")), 8) &amp; "*", 'Price list'!F:F, 0)), 0))</f>
        <v>1199</v>
      </c>
      <c r="H31" s="19">
        <f>IF(ISBLANK(A31), "", IFERROR(INDEX('Price list'!E:E, MATCH(LEFT(UPPER(SUBSTITUTE(A31, " ", "")), 8) &amp; "*", 'Price list'!F:F, 0)), 0))</f>
        <v>0.05</v>
      </c>
      <c r="I31" s="17">
        <f>IF(ISBLANK(A31), "", IFERROR(INDEX('Price list'!D:D, MATCH(LEFT(UPPER(SUBSTITUTE(A31, " ", "")), 8) &amp; "*", 'Price list'!F:F, 0)), ""))</f>
        <v>95030020</v>
      </c>
      <c r="J31" s="19"/>
      <c r="K31" s="18">
        <f>IF(ISBLANK(A31), "", ROUND(G31*C31*J31,2))</f>
        <v>0</v>
      </c>
      <c r="L31" s="18">
        <f>IF(ISBLANK(A31), "", (G31*C31)-K31)</f>
        <v>14388</v>
      </c>
      <c r="M31" s="16" t="str">
        <f>IF(ISBLANK(A31), "", IF(F31="", "⚠️ SKU not found in Price List", IF(ROUND(E31,2)&lt;&gt;ROUND(G31,2), "⚠️ Price Mismatch! (PO: " &amp; TEXT(E31,"#,##0.00") &amp; ", List: " &amp; TEXT(G31,"#,##0.00") &amp; ")", "✅ OK")))</f>
        <v>✅ OK</v>
      </c>
      <c r="N31" s="16"/>
    </row>
    <row r="32" spans="1:14" x14ac:dyDescent="0.3">
      <c r="A32" s="16" t="s">
        <v>164</v>
      </c>
      <c r="B32" s="16" t="s">
        <v>280</v>
      </c>
      <c r="C32" s="17">
        <v>0</v>
      </c>
      <c r="D32" s="17">
        <v>2</v>
      </c>
      <c r="E32" s="18">
        <v>749</v>
      </c>
      <c r="F32" s="16" t="str">
        <f>IF(ISBLANK(A32), "", IFERROR(INDEX('Price list'!B:B, MATCH(LEFT(UPPER(SUBSTITUTE(A32, " ", "")), 8) &amp; "*", 'Price list'!F:F, 0)), ""))</f>
        <v>SMRT1321</v>
      </c>
      <c r="G32" s="18">
        <f>IF(ISBLANK(A32), "", IFERROR(INDEX('Price list'!C:C, MATCH(LEFT(UPPER(SUBSTITUTE(A32, " ", "")), 8) &amp; "*", 'Price list'!F:F, 0)), 0))</f>
        <v>749</v>
      </c>
      <c r="H32" s="19">
        <f>IF(ISBLANK(A32), "", IFERROR(INDEX('Price list'!E:E, MATCH(LEFT(UPPER(SUBSTITUTE(A32, " ", "")), 8) &amp; "*", 'Price list'!F:F, 0)), 0))</f>
        <v>0.05</v>
      </c>
      <c r="I32" s="17">
        <f>IF(ISBLANK(A32), "", IFERROR(INDEX('Price list'!D:D, MATCH(LEFT(UPPER(SUBSTITUTE(A32, " ", "")), 8) &amp; "*", 'Price list'!F:F, 0)), ""))</f>
        <v>95030020</v>
      </c>
      <c r="J32" s="19"/>
      <c r="K32" s="18">
        <f>IF(ISBLANK(A32), "", ROUND(G32*C32*J32,2))</f>
        <v>0</v>
      </c>
      <c r="L32" s="18">
        <f>IF(ISBLANK(A32), "", (G32*C32)-K32)</f>
        <v>0</v>
      </c>
      <c r="M32" s="16" t="str">
        <f>IF(ISBLANK(A32), "", IF(F32="", "⚠️ SKU not found in Price List", IF(ROUND(E32,2)&lt;&gt;ROUND(G32,2), "⚠️ Price Mismatch! (PO: " &amp; TEXT(E32,"#,##0.00") &amp; ", List: " &amp; TEXT(G32,"#,##0.00") &amp; ")", "✅ OK")))</f>
        <v>✅ OK</v>
      </c>
      <c r="N32" s="16"/>
    </row>
    <row r="33" spans="1:14" x14ac:dyDescent="0.3">
      <c r="A33" s="16" t="s">
        <v>14</v>
      </c>
      <c r="B33" s="16" t="s">
        <v>281</v>
      </c>
      <c r="C33" s="17">
        <v>2</v>
      </c>
      <c r="D33" s="17">
        <v>2</v>
      </c>
      <c r="E33" s="18">
        <v>1349</v>
      </c>
      <c r="F33" s="16" t="str">
        <f>IF(ISBLANK(A33), "", IFERROR(INDEX('Price list'!B:B, MATCH(LEFT(UPPER(SUBSTITUTE(A33, " ", "")), 8) &amp; "*", 'Price list'!F:F, 0)), ""))</f>
        <v>SMRT1018</v>
      </c>
      <c r="G33" s="18">
        <f>IF(ISBLANK(A33), "", IFERROR(INDEX('Price list'!C:C, MATCH(LEFT(UPPER(SUBSTITUTE(A33, " ", "")), 8) &amp; "*", 'Price list'!F:F, 0)), 0))</f>
        <v>1349</v>
      </c>
      <c r="H33" s="19">
        <f>IF(ISBLANK(A33), "", IFERROR(INDEX('Price list'!E:E, MATCH(LEFT(UPPER(SUBSTITUTE(A33, " ", "")), 8) &amp; "*", 'Price list'!F:F, 0)), 0))</f>
        <v>0.05</v>
      </c>
      <c r="I33" s="17">
        <f>IF(ISBLANK(A33), "", IFERROR(INDEX('Price list'!D:D, MATCH(LEFT(UPPER(SUBSTITUTE(A33, " ", "")), 8) &amp; "*", 'Price list'!F:F, 0)), ""))</f>
        <v>95030020</v>
      </c>
      <c r="J33" s="19"/>
      <c r="K33" s="18">
        <f>IF(ISBLANK(A33), "", ROUND(G33*C33*J33,2))</f>
        <v>0</v>
      </c>
      <c r="L33" s="18">
        <f>IF(ISBLANK(A33), "", (G33*C33)-K33)</f>
        <v>2698</v>
      </c>
      <c r="M33" s="16" t="str">
        <f>IF(ISBLANK(A33), "", IF(F33="", "⚠️ SKU not found in Price List", IF(ROUND(E33,2)&lt;&gt;ROUND(G33,2), "⚠️ Price Mismatch! (PO: " &amp; TEXT(E33,"#,##0.00") &amp; ", List: " &amp; TEXT(G33,"#,##0.00") &amp; ")", "✅ OK")))</f>
        <v>✅ OK</v>
      </c>
      <c r="N33" s="16"/>
    </row>
    <row r="34" spans="1:14" x14ac:dyDescent="0.3">
      <c r="A34" s="16" t="s">
        <v>24</v>
      </c>
      <c r="B34" s="16" t="s">
        <v>282</v>
      </c>
      <c r="C34" s="17">
        <v>2</v>
      </c>
      <c r="D34" s="17">
        <v>2</v>
      </c>
      <c r="E34" s="18">
        <v>1399</v>
      </c>
      <c r="F34" s="16" t="str">
        <f>IF(ISBLANK(A34), "", IFERROR(INDEX('Price list'!B:B, MATCH(LEFT(UPPER(SUBSTITUTE(A34, " ", "")), 8) &amp; "*", 'Price list'!F:F, 0)), ""))</f>
        <v>SMRT1032</v>
      </c>
      <c r="G34" s="18">
        <f>IF(ISBLANK(A34), "", IFERROR(INDEX('Price list'!C:C, MATCH(LEFT(UPPER(SUBSTITUTE(A34, " ", "")), 8) &amp; "*", 'Price list'!F:F, 0)), 0))</f>
        <v>1399</v>
      </c>
      <c r="H34" s="19">
        <f>IF(ISBLANK(A34), "", IFERROR(INDEX('Price list'!E:E, MATCH(LEFT(UPPER(SUBSTITUTE(A34, " ", "")), 8) &amp; "*", 'Price list'!F:F, 0)), 0))</f>
        <v>0.05</v>
      </c>
      <c r="I34" s="17">
        <f>IF(ISBLANK(A34), "", IFERROR(INDEX('Price list'!D:D, MATCH(LEFT(UPPER(SUBSTITUTE(A34, " ", "")), 8) &amp; "*", 'Price list'!F:F, 0)), ""))</f>
        <v>95030020</v>
      </c>
      <c r="J34" s="19"/>
      <c r="K34" s="18">
        <f>IF(ISBLANK(A34), "", ROUND(G34*C34*J34,2))</f>
        <v>0</v>
      </c>
      <c r="L34" s="18">
        <f>IF(ISBLANK(A34), "", (G34*C34)-K34)</f>
        <v>2798</v>
      </c>
      <c r="M34" s="16" t="str">
        <f>IF(ISBLANK(A34), "", IF(F34="", "⚠️ SKU not found in Price List", IF(ROUND(E34,2)&lt;&gt;ROUND(G34,2), "⚠️ Price Mismatch! (PO: " &amp; TEXT(E34,"#,##0.00") &amp; ", List: " &amp; TEXT(G34,"#,##0.00") &amp; ")", "✅ OK")))</f>
        <v>✅ OK</v>
      </c>
      <c r="N34" s="16"/>
    </row>
    <row r="35" spans="1:14" x14ac:dyDescent="0.3">
      <c r="A35" s="16" t="s">
        <v>80</v>
      </c>
      <c r="B35" s="16" t="s">
        <v>283</v>
      </c>
      <c r="C35" s="17">
        <v>2</v>
      </c>
      <c r="D35" s="17">
        <v>2</v>
      </c>
      <c r="E35" s="18">
        <v>1599</v>
      </c>
      <c r="F35" s="16" t="str">
        <f>IF(ISBLANK(A35), "", IFERROR(INDEX('Price list'!B:B, MATCH(LEFT(UPPER(SUBSTITUTE(A35, " ", "")), 8) &amp; "*", 'Price list'!F:F, 0)), ""))</f>
        <v>SMRT1169</v>
      </c>
      <c r="G35" s="18">
        <f>IF(ISBLANK(A35), "", IFERROR(INDEX('Price list'!C:C, MATCH(LEFT(UPPER(SUBSTITUTE(A35, " ", "")), 8) &amp; "*", 'Price list'!F:F, 0)), 0))</f>
        <v>1599</v>
      </c>
      <c r="H35" s="19">
        <f>IF(ISBLANK(A35), "", IFERROR(INDEX('Price list'!E:E, MATCH(LEFT(UPPER(SUBSTITUTE(A35, " ", "")), 8) &amp; "*", 'Price list'!F:F, 0)), 0))</f>
        <v>0.05</v>
      </c>
      <c r="I35" s="17">
        <f>IF(ISBLANK(A35), "", IFERROR(INDEX('Price list'!D:D, MATCH(LEFT(UPPER(SUBSTITUTE(A35, " ", "")), 8) &amp; "*", 'Price list'!F:F, 0)), ""))</f>
        <v>95030020</v>
      </c>
      <c r="J35" s="19"/>
      <c r="K35" s="18">
        <f>IF(ISBLANK(A35), "", ROUND(G35*C35*J35,2))</f>
        <v>0</v>
      </c>
      <c r="L35" s="18">
        <f>IF(ISBLANK(A35), "", (G35*C35)-K35)</f>
        <v>3198</v>
      </c>
      <c r="M35" s="16" t="str">
        <f>IF(ISBLANK(A35), "", IF(F35="", "⚠️ SKU not found in Price List", IF(ROUND(E35,2)&lt;&gt;ROUND(G35,2), "⚠️ Price Mismatch! (PO: " &amp; TEXT(E35,"#,##0.00") &amp; ", List: " &amp; TEXT(G35,"#,##0.00") &amp; ")", "✅ OK")))</f>
        <v>✅ OK</v>
      </c>
      <c r="N35" s="16"/>
    </row>
    <row r="36" spans="1:14" x14ac:dyDescent="0.3">
      <c r="A36" s="16" t="s">
        <v>166</v>
      </c>
      <c r="B36" s="16" t="s">
        <v>264</v>
      </c>
      <c r="C36" s="17">
        <v>2</v>
      </c>
      <c r="D36" s="17">
        <v>2</v>
      </c>
      <c r="E36" s="18">
        <v>1499</v>
      </c>
      <c r="F36" s="16" t="str">
        <f>IF(ISBLANK(A36), "", IFERROR(INDEX('Price list'!B:B, MATCH(LEFT(UPPER(SUBSTITUTE(A36, " ", "")), 8) &amp; "*", 'Price list'!F:F, 0)), ""))</f>
        <v>SMRT1323</v>
      </c>
      <c r="G36" s="18">
        <f>IF(ISBLANK(A36), "", IFERROR(INDEX('Price list'!C:C, MATCH(LEFT(UPPER(SUBSTITUTE(A36, " ", "")), 8) &amp; "*", 'Price list'!F:F, 0)), 0))</f>
        <v>1499</v>
      </c>
      <c r="H36" s="19">
        <f>IF(ISBLANK(A36), "", IFERROR(INDEX('Price list'!E:E, MATCH(LEFT(UPPER(SUBSTITUTE(A36, " ", "")), 8) &amp; "*", 'Price list'!F:F, 0)), 0))</f>
        <v>0.05</v>
      </c>
      <c r="I36" s="17">
        <f>IF(ISBLANK(A36), "", IFERROR(INDEX('Price list'!D:D, MATCH(LEFT(UPPER(SUBSTITUTE(A36, " ", "")), 8) &amp; "*", 'Price list'!F:F, 0)), ""))</f>
        <v>95030020</v>
      </c>
      <c r="J36" s="19"/>
      <c r="K36" s="18">
        <f>IF(ISBLANK(A36), "", ROUND(G36*C36*J36,2))</f>
        <v>0</v>
      </c>
      <c r="L36" s="18">
        <f>IF(ISBLANK(A36), "", (G36*C36)-K36)</f>
        <v>2998</v>
      </c>
      <c r="M36" s="16" t="str">
        <f>IF(ISBLANK(A36), "", IF(F36="", "⚠️ SKU not found in Price List", IF(ROUND(E36,2)&lt;&gt;ROUND(G36,2), "⚠️ Price Mismatch! (PO: " &amp; TEXT(E36,"#,##0.00") &amp; ", List: " &amp; TEXT(G36,"#,##0.00") &amp; ")", "✅ OK")))</f>
        <v>✅ OK</v>
      </c>
      <c r="N36" s="16"/>
    </row>
    <row r="37" spans="1:14" ht="15" thickBot="1" x14ac:dyDescent="0.35">
      <c r="A37" s="16" t="s">
        <v>116</v>
      </c>
      <c r="B37" s="16" t="s">
        <v>284</v>
      </c>
      <c r="C37" s="17">
        <v>2</v>
      </c>
      <c r="D37" s="17">
        <v>2</v>
      </c>
      <c r="E37" s="18">
        <v>1299</v>
      </c>
      <c r="F37" s="16" t="str">
        <f>IF(ISBLANK(A37), "", IFERROR(INDEX('Price list'!B:B, MATCH(LEFT(UPPER(SUBSTITUTE(A37, " ", "")), 8) &amp; "*", 'Price list'!F:F, 0)), ""))</f>
        <v>SMRT1233</v>
      </c>
      <c r="G37" s="18">
        <f>IF(ISBLANK(A37), "", IFERROR(INDEX('Price list'!C:C, MATCH(LEFT(UPPER(SUBSTITUTE(A37, " ", "")), 8) &amp; "*", 'Price list'!F:F, 0)), 0))</f>
        <v>1299</v>
      </c>
      <c r="H37" s="19">
        <f>IF(ISBLANK(A37), "", IFERROR(INDEX('Price list'!E:E, MATCH(LEFT(UPPER(SUBSTITUTE(A37, " ", "")), 8) &amp; "*", 'Price list'!F:F, 0)), 0))</f>
        <v>0.05</v>
      </c>
      <c r="I37" s="17">
        <f>IF(ISBLANK(A37), "", IFERROR(INDEX('Price list'!D:D, MATCH(LEFT(UPPER(SUBSTITUTE(A37, " ", "")), 8) &amp; "*", 'Price list'!F:F, 0)), ""))</f>
        <v>95030020</v>
      </c>
      <c r="J37" s="19"/>
      <c r="K37" s="18">
        <f>IF(ISBLANK(A37), "", ROUND(G37*C37*J37,2))</f>
        <v>0</v>
      </c>
      <c r="L37" s="18">
        <f>IF(ISBLANK(A37), "", (G37*C37)-K37)</f>
        <v>2598</v>
      </c>
      <c r="M37" s="16" t="str">
        <f>IF(ISBLANK(A37), "", IF(F37="", "⚠️ SKU not found in Price List", IF(ROUND(E37,2)&lt;&gt;ROUND(G37,2), "⚠️ Price Mismatch! (PO: " &amp; TEXT(E37,"#,##0.00") &amp; ", List: " &amp; TEXT(G37,"#,##0.00") &amp; ")", "✅ OK")))</f>
        <v>✅ OK</v>
      </c>
      <c r="N37" s="16"/>
    </row>
    <row r="38" spans="1:14" ht="17.399999999999999" thickBot="1" x14ac:dyDescent="0.45">
      <c r="A38" s="15" t="s">
        <v>266</v>
      </c>
      <c r="B38" s="15"/>
      <c r="C38" s="8">
        <f>SUM(C11:C37)</f>
        <v>167</v>
      </c>
      <c r="D38" s="8">
        <f>SUM(D11:D37)</f>
        <v>44</v>
      </c>
      <c r="E38" s="9"/>
      <c r="F38" s="10"/>
      <c r="G38" s="9"/>
      <c r="H38" s="11"/>
      <c r="I38" s="8"/>
      <c r="J38" s="11"/>
      <c r="K38" s="9">
        <f>SUM(K11:K37)</f>
        <v>0</v>
      </c>
      <c r="L38" s="9">
        <f>SUM(L11:L37)</f>
        <v>143753</v>
      </c>
      <c r="M38" s="16"/>
      <c r="N38" s="16"/>
    </row>
    <row r="39" spans="1:14" x14ac:dyDescent="0.3">
      <c r="A39" s="16"/>
      <c r="B39" s="16"/>
      <c r="C39" s="17"/>
      <c r="D39" s="17"/>
      <c r="E39" s="18"/>
      <c r="F39" s="16"/>
      <c r="G39" s="18"/>
      <c r="H39" s="19"/>
      <c r="I39" s="17"/>
      <c r="J39" s="19"/>
      <c r="K39" s="18"/>
      <c r="L39" s="18"/>
      <c r="M39" s="16"/>
      <c r="N39" s="16"/>
    </row>
    <row r="40" spans="1:14" x14ac:dyDescent="0.3">
      <c r="A40" s="16"/>
      <c r="B40" s="16"/>
      <c r="C40" s="17"/>
      <c r="D40" s="17"/>
      <c r="E40" s="18"/>
      <c r="F40" s="16"/>
      <c r="G40" s="18"/>
      <c r="H40" s="19"/>
      <c r="I40" s="17"/>
      <c r="J40" s="19"/>
      <c r="K40" s="18"/>
      <c r="L40" s="18"/>
      <c r="M40" s="16"/>
      <c r="N40" s="16"/>
    </row>
    <row r="41" spans="1:14" x14ac:dyDescent="0.3">
      <c r="A41" s="16"/>
      <c r="B41" s="16"/>
      <c r="C41" s="17"/>
      <c r="D41" s="17"/>
      <c r="E41" s="18"/>
      <c r="F41" s="16"/>
      <c r="G41" s="18"/>
      <c r="H41" s="19"/>
      <c r="I41" s="17"/>
      <c r="J41" s="19"/>
      <c r="K41" s="18"/>
      <c r="L41" s="18"/>
      <c r="M41" s="16"/>
      <c r="N41" s="16"/>
    </row>
    <row r="42" spans="1:14" x14ac:dyDescent="0.3">
      <c r="A42" s="16"/>
      <c r="B42" s="16"/>
      <c r="C42" s="17"/>
      <c r="D42" s="17"/>
      <c r="E42" s="18"/>
      <c r="F42" s="16"/>
      <c r="G42" s="18"/>
      <c r="H42" s="19"/>
      <c r="I42" s="17"/>
      <c r="J42" s="19"/>
      <c r="K42" s="18"/>
      <c r="L42" s="18"/>
      <c r="M42" s="16"/>
      <c r="N42" s="16"/>
    </row>
    <row r="43" spans="1:14" x14ac:dyDescent="0.3">
      <c r="A43" s="16"/>
      <c r="B43" s="16"/>
      <c r="C43" s="17"/>
      <c r="D43" s="17"/>
      <c r="E43" s="18"/>
      <c r="F43" s="16"/>
      <c r="G43" s="18"/>
      <c r="H43" s="19"/>
      <c r="I43" s="17"/>
      <c r="J43" s="19"/>
      <c r="K43" s="18"/>
      <c r="L43" s="18"/>
      <c r="M43" s="16"/>
      <c r="N43" s="16"/>
    </row>
    <row r="44" spans="1:14" x14ac:dyDescent="0.3">
      <c r="A44" s="16"/>
      <c r="B44" s="16"/>
      <c r="C44" s="17"/>
      <c r="D44" s="17"/>
      <c r="E44" s="18"/>
      <c r="F44" s="16"/>
      <c r="G44" s="18"/>
      <c r="H44" s="19"/>
      <c r="I44" s="17"/>
      <c r="J44" s="19"/>
      <c r="K44" s="18"/>
      <c r="L44" s="18"/>
      <c r="M44" s="16"/>
      <c r="N44" s="16"/>
    </row>
    <row r="45" spans="1:14" x14ac:dyDescent="0.3">
      <c r="A45" s="16"/>
      <c r="B45" s="16"/>
      <c r="C45" s="17"/>
      <c r="D45" s="17"/>
      <c r="E45" s="18"/>
      <c r="F45" s="16"/>
      <c r="G45" s="18"/>
      <c r="H45" s="19"/>
      <c r="I45" s="17"/>
      <c r="J45" s="19"/>
      <c r="K45" s="18"/>
      <c r="L45" s="18"/>
      <c r="M45" s="16"/>
      <c r="N45" s="16"/>
    </row>
    <row r="46" spans="1:14" x14ac:dyDescent="0.3">
      <c r="A46" s="16"/>
      <c r="B46" s="16"/>
      <c r="C46" s="17"/>
      <c r="D46" s="17"/>
      <c r="E46" s="18"/>
      <c r="F46" s="16"/>
      <c r="G46" s="18"/>
      <c r="H46" s="19"/>
      <c r="I46" s="17"/>
      <c r="J46" s="19"/>
      <c r="K46" s="18"/>
      <c r="L46" s="18"/>
      <c r="M46" s="16"/>
      <c r="N46" s="16"/>
    </row>
    <row r="47" spans="1:14" x14ac:dyDescent="0.3">
      <c r="A47" s="16"/>
      <c r="B47" s="16"/>
      <c r="C47" s="17"/>
      <c r="D47" s="17"/>
      <c r="E47" s="18"/>
      <c r="F47" s="16"/>
      <c r="G47" s="18"/>
      <c r="H47" s="19"/>
      <c r="I47" s="17"/>
      <c r="J47" s="19"/>
      <c r="K47" s="18"/>
      <c r="L47" s="18"/>
      <c r="M47" s="16"/>
      <c r="N47" s="16"/>
    </row>
    <row r="48" spans="1:14" x14ac:dyDescent="0.3">
      <c r="A48" s="16"/>
      <c r="B48" s="16"/>
      <c r="C48" s="17"/>
      <c r="D48" s="17"/>
      <c r="E48" s="18"/>
      <c r="F48" s="16"/>
      <c r="G48" s="18"/>
      <c r="H48" s="19"/>
      <c r="I48" s="17"/>
      <c r="J48" s="19"/>
      <c r="K48" s="18"/>
      <c r="L48" s="18"/>
      <c r="M48" s="16"/>
      <c r="N48" s="16"/>
    </row>
    <row r="49" spans="1:14" x14ac:dyDescent="0.3">
      <c r="A49" s="16"/>
      <c r="B49" s="16"/>
      <c r="C49" s="17"/>
      <c r="D49" s="17"/>
      <c r="E49" s="18"/>
      <c r="F49" s="16"/>
      <c r="G49" s="18"/>
      <c r="H49" s="19"/>
      <c r="I49" s="17"/>
      <c r="J49" s="19"/>
      <c r="K49" s="18"/>
      <c r="L49" s="18"/>
      <c r="M49" s="16"/>
      <c r="N49" s="16"/>
    </row>
    <row r="50" spans="1:14" ht="15" thickBot="1" x14ac:dyDescent="0.35">
      <c r="A50" s="16"/>
      <c r="B50" s="16"/>
      <c r="C50" s="17"/>
      <c r="D50" s="17"/>
      <c r="E50" s="18"/>
      <c r="F50" s="16"/>
      <c r="G50" s="18"/>
      <c r="H50" s="19"/>
      <c r="I50" s="17"/>
      <c r="J50" s="19"/>
      <c r="K50" s="18"/>
      <c r="L50" s="18"/>
      <c r="M50" s="16"/>
      <c r="N50" s="16"/>
    </row>
    <row r="51" spans="1:14" ht="17.399999999999999" thickBot="1" x14ac:dyDescent="0.45">
      <c r="A51" s="20"/>
      <c r="B51" s="20"/>
      <c r="C51" s="20"/>
      <c r="D51" s="20"/>
      <c r="E51" s="21"/>
      <c r="F51" s="22"/>
      <c r="G51" s="21"/>
      <c r="H51" s="23"/>
      <c r="I51" s="20"/>
      <c r="J51" s="23"/>
      <c r="K51" s="21"/>
      <c r="L51" s="21"/>
      <c r="M51" s="16"/>
      <c r="N51" s="16"/>
    </row>
    <row r="52" spans="1:14" x14ac:dyDescent="0.3">
      <c r="A52" s="16"/>
      <c r="B52" s="16"/>
      <c r="C52" s="17"/>
      <c r="D52" s="17"/>
      <c r="E52" s="18"/>
      <c r="F52" s="16"/>
      <c r="G52" s="18"/>
      <c r="H52" s="19"/>
      <c r="I52" s="17"/>
      <c r="J52" s="19"/>
      <c r="K52" s="18"/>
      <c r="L52" s="18"/>
      <c r="M52" s="16"/>
      <c r="N52" s="16"/>
    </row>
    <row r="53" spans="1:14" x14ac:dyDescent="0.3">
      <c r="A53" s="16"/>
      <c r="B53" s="16"/>
      <c r="C53" s="17"/>
      <c r="D53" s="17"/>
      <c r="E53" s="18"/>
      <c r="F53" s="16"/>
      <c r="G53" s="18"/>
      <c r="H53" s="19"/>
      <c r="I53" s="17"/>
      <c r="J53" s="19"/>
      <c r="K53" s="18"/>
      <c r="L53" s="18"/>
      <c r="M53" s="16"/>
      <c r="N53" s="16"/>
    </row>
    <row r="54" spans="1:14" x14ac:dyDescent="0.3">
      <c r="A54" s="16"/>
      <c r="B54" s="16"/>
      <c r="C54" s="17"/>
      <c r="D54" s="17"/>
      <c r="E54" s="18"/>
      <c r="F54" s="16"/>
      <c r="G54" s="18"/>
      <c r="H54" s="19"/>
      <c r="I54" s="17"/>
      <c r="J54" s="19"/>
      <c r="K54" s="18"/>
      <c r="L54" s="18"/>
      <c r="M54" s="16"/>
      <c r="N54" s="16"/>
    </row>
    <row r="55" spans="1:14" x14ac:dyDescent="0.3">
      <c r="A55" s="16"/>
      <c r="B55" s="16"/>
      <c r="C55" s="17"/>
      <c r="D55" s="17"/>
      <c r="E55" s="18"/>
      <c r="F55" s="16"/>
      <c r="G55" s="18"/>
      <c r="H55" s="19"/>
      <c r="I55" s="17"/>
      <c r="J55" s="19"/>
      <c r="K55" s="18"/>
      <c r="L55" s="18"/>
      <c r="M55" s="16"/>
      <c r="N55" s="16"/>
    </row>
    <row r="56" spans="1:14" x14ac:dyDescent="0.3">
      <c r="A56" s="16"/>
      <c r="B56" s="16"/>
      <c r="C56" s="17"/>
      <c r="D56" s="17"/>
      <c r="E56" s="18"/>
      <c r="F56" s="16"/>
      <c r="G56" s="18"/>
      <c r="H56" s="19"/>
      <c r="I56" s="17"/>
      <c r="J56" s="19"/>
      <c r="K56" s="18"/>
      <c r="L56" s="18"/>
      <c r="M56" s="16"/>
      <c r="N56" s="16"/>
    </row>
    <row r="57" spans="1:14" x14ac:dyDescent="0.3">
      <c r="A57" s="16"/>
      <c r="B57" s="16"/>
      <c r="C57" s="17"/>
      <c r="D57" s="17"/>
      <c r="E57" s="18"/>
      <c r="F57" s="16"/>
      <c r="G57" s="18"/>
      <c r="H57" s="19"/>
      <c r="I57" s="17"/>
      <c r="J57" s="19"/>
      <c r="K57" s="18"/>
      <c r="L57" s="18"/>
      <c r="M57" s="16"/>
      <c r="N57" s="16"/>
    </row>
    <row r="58" spans="1:14" x14ac:dyDescent="0.3">
      <c r="A58" s="16"/>
      <c r="B58" s="16"/>
      <c r="C58" s="17"/>
      <c r="D58" s="17"/>
      <c r="E58" s="18"/>
      <c r="F58" s="16"/>
      <c r="G58" s="18"/>
      <c r="H58" s="19"/>
      <c r="I58" s="17"/>
      <c r="J58" s="19"/>
      <c r="K58" s="18"/>
      <c r="L58" s="18"/>
      <c r="M58" s="16"/>
      <c r="N58" s="16"/>
    </row>
    <row r="59" spans="1:14" x14ac:dyDescent="0.3">
      <c r="A59" s="16"/>
      <c r="B59" s="16"/>
      <c r="C59" s="17"/>
      <c r="D59" s="17"/>
      <c r="E59" s="18"/>
      <c r="F59" s="16"/>
      <c r="G59" s="18"/>
      <c r="H59" s="19"/>
      <c r="I59" s="17"/>
      <c r="J59" s="19"/>
      <c r="K59" s="18"/>
      <c r="L59" s="18"/>
      <c r="M59" s="16"/>
      <c r="N59" s="16"/>
    </row>
    <row r="60" spans="1:14" x14ac:dyDescent="0.3">
      <c r="A60" s="16"/>
      <c r="B60" s="16"/>
      <c r="C60" s="17"/>
      <c r="D60" s="17"/>
      <c r="E60" s="18"/>
      <c r="F60" s="16"/>
      <c r="G60" s="18"/>
      <c r="H60" s="19"/>
      <c r="I60" s="17"/>
      <c r="J60" s="19"/>
      <c r="K60" s="18"/>
      <c r="L60" s="18"/>
      <c r="M60" s="16"/>
      <c r="N60" s="16"/>
    </row>
    <row r="61" spans="1:14" x14ac:dyDescent="0.3">
      <c r="A61" s="16"/>
      <c r="B61" s="16"/>
      <c r="C61" s="17"/>
      <c r="D61" s="17"/>
      <c r="E61" s="18"/>
      <c r="F61" s="16"/>
      <c r="G61" s="18"/>
      <c r="H61" s="19"/>
      <c r="I61" s="17"/>
      <c r="J61" s="19"/>
      <c r="K61" s="18"/>
      <c r="L61" s="18"/>
      <c r="M61" s="16"/>
      <c r="N61" s="16"/>
    </row>
    <row r="62" spans="1:14" x14ac:dyDescent="0.3">
      <c r="A62" s="16"/>
      <c r="B62" s="16"/>
      <c r="C62" s="17"/>
      <c r="D62" s="17"/>
      <c r="E62" s="18"/>
      <c r="F62" s="16"/>
      <c r="G62" s="18"/>
      <c r="H62" s="19"/>
      <c r="I62" s="17"/>
      <c r="J62" s="19"/>
      <c r="K62" s="18"/>
      <c r="L62" s="18"/>
      <c r="M62" s="16"/>
      <c r="N62" s="16"/>
    </row>
    <row r="63" spans="1:14" x14ac:dyDescent="0.3">
      <c r="A63" s="16"/>
      <c r="B63" s="16"/>
      <c r="C63" s="17"/>
      <c r="D63" s="17"/>
      <c r="E63" s="18"/>
      <c r="F63" s="16"/>
      <c r="G63" s="18"/>
      <c r="H63" s="19"/>
      <c r="I63" s="17"/>
      <c r="J63" s="19"/>
      <c r="K63" s="18"/>
      <c r="L63" s="18"/>
      <c r="M63" s="16"/>
      <c r="N63" s="16"/>
    </row>
    <row r="64" spans="1:14" x14ac:dyDescent="0.3">
      <c r="A64" s="16"/>
      <c r="B64" s="16"/>
      <c r="C64" s="17"/>
      <c r="D64" s="17"/>
      <c r="E64" s="18"/>
      <c r="F64" s="16"/>
      <c r="G64" s="18"/>
      <c r="H64" s="19"/>
      <c r="I64" s="17"/>
      <c r="J64" s="19"/>
      <c r="K64" s="18"/>
      <c r="L64" s="18"/>
      <c r="M64" s="16"/>
      <c r="N64" s="16"/>
    </row>
    <row r="65" spans="1:14" x14ac:dyDescent="0.3">
      <c r="A65" s="16"/>
      <c r="B65" s="16"/>
      <c r="C65" s="17"/>
      <c r="D65" s="17"/>
      <c r="E65" s="18"/>
      <c r="F65" s="16"/>
      <c r="G65" s="18"/>
      <c r="H65" s="19"/>
      <c r="I65" s="17"/>
      <c r="J65" s="19"/>
      <c r="K65" s="18"/>
      <c r="L65" s="18"/>
      <c r="M65" s="16"/>
      <c r="N65" s="16"/>
    </row>
    <row r="66" spans="1:14" x14ac:dyDescent="0.3">
      <c r="A66" s="16"/>
      <c r="B66" s="16"/>
      <c r="C66" s="17"/>
      <c r="D66" s="17"/>
      <c r="E66" s="18"/>
      <c r="F66" s="16"/>
      <c r="G66" s="18"/>
      <c r="H66" s="19"/>
      <c r="I66" s="17"/>
      <c r="J66" s="19"/>
      <c r="K66" s="18"/>
      <c r="L66" s="18"/>
      <c r="M66" s="16"/>
      <c r="N66" s="16"/>
    </row>
    <row r="67" spans="1:14" x14ac:dyDescent="0.3">
      <c r="A67" s="16"/>
      <c r="B67" s="16"/>
      <c r="C67" s="17"/>
      <c r="D67" s="17"/>
      <c r="E67" s="18"/>
      <c r="F67" s="16"/>
      <c r="G67" s="18"/>
      <c r="H67" s="19"/>
      <c r="I67" s="17"/>
      <c r="J67" s="19"/>
      <c r="K67" s="18"/>
      <c r="L67" s="18"/>
      <c r="M67" s="16"/>
      <c r="N67" s="16"/>
    </row>
    <row r="68" spans="1:14" x14ac:dyDescent="0.3">
      <c r="A68" s="16"/>
      <c r="B68" s="16"/>
      <c r="C68" s="17"/>
      <c r="D68" s="17"/>
      <c r="E68" s="18"/>
      <c r="F68" s="16"/>
      <c r="G68" s="18"/>
      <c r="H68" s="19"/>
      <c r="I68" s="17"/>
      <c r="J68" s="19"/>
      <c r="K68" s="18"/>
      <c r="L68" s="18"/>
      <c r="M68" s="16"/>
      <c r="N68" s="16"/>
    </row>
    <row r="69" spans="1:14" x14ac:dyDescent="0.3">
      <c r="A69" s="16"/>
      <c r="B69" s="16"/>
      <c r="C69" s="17"/>
      <c r="D69" s="17"/>
      <c r="E69" s="18"/>
      <c r="F69" s="16"/>
      <c r="G69" s="18"/>
      <c r="H69" s="19"/>
      <c r="I69" s="17"/>
      <c r="J69" s="19"/>
      <c r="K69" s="18"/>
      <c r="L69" s="18"/>
      <c r="M69" s="16"/>
      <c r="N69" s="16"/>
    </row>
    <row r="70" spans="1:14" x14ac:dyDescent="0.3">
      <c r="A70" s="16"/>
      <c r="B70" s="16"/>
      <c r="C70" s="17"/>
      <c r="D70" s="17"/>
      <c r="E70" s="18"/>
      <c r="F70" s="16"/>
      <c r="G70" s="18"/>
      <c r="H70" s="19"/>
      <c r="I70" s="17"/>
      <c r="J70" s="19"/>
      <c r="K70" s="18"/>
      <c r="L70" s="18"/>
      <c r="M70" s="16"/>
      <c r="N70" s="16"/>
    </row>
    <row r="71" spans="1:14" x14ac:dyDescent="0.3">
      <c r="A71" s="16"/>
      <c r="B71" s="16"/>
      <c r="C71" s="17"/>
      <c r="D71" s="17"/>
      <c r="E71" s="18"/>
      <c r="F71" s="16"/>
      <c r="G71" s="18"/>
      <c r="H71" s="19"/>
      <c r="I71" s="17"/>
      <c r="J71" s="19"/>
      <c r="K71" s="18"/>
      <c r="L71" s="18"/>
      <c r="M71" s="16"/>
      <c r="N71" s="16"/>
    </row>
    <row r="72" spans="1:14" x14ac:dyDescent="0.3">
      <c r="A72" s="16"/>
      <c r="B72" s="16"/>
      <c r="C72" s="17"/>
      <c r="D72" s="17"/>
      <c r="E72" s="18"/>
      <c r="F72" s="16"/>
      <c r="G72" s="18"/>
      <c r="H72" s="19"/>
      <c r="I72" s="17"/>
      <c r="J72" s="19"/>
      <c r="K72" s="18"/>
      <c r="L72" s="18"/>
      <c r="M72" s="16"/>
      <c r="N72" s="16"/>
    </row>
    <row r="73" spans="1:14" x14ac:dyDescent="0.3">
      <c r="A73" s="16"/>
      <c r="B73" s="16"/>
      <c r="C73" s="17"/>
      <c r="D73" s="17"/>
      <c r="E73" s="18"/>
      <c r="F73" s="16"/>
      <c r="G73" s="18"/>
      <c r="H73" s="19"/>
      <c r="I73" s="17"/>
      <c r="J73" s="19"/>
      <c r="K73" s="18"/>
      <c r="L73" s="18"/>
      <c r="M73" s="16"/>
      <c r="N73" s="16"/>
    </row>
    <row r="74" spans="1:14" x14ac:dyDescent="0.3">
      <c r="A74" s="16"/>
      <c r="B74" s="16"/>
      <c r="C74" s="17"/>
      <c r="D74" s="17"/>
      <c r="E74" s="18"/>
      <c r="F74" s="16"/>
      <c r="G74" s="18"/>
      <c r="H74" s="19"/>
      <c r="I74" s="17"/>
      <c r="J74" s="19"/>
      <c r="K74" s="18"/>
      <c r="L74" s="18"/>
      <c r="M74" s="16"/>
      <c r="N74" s="16"/>
    </row>
    <row r="75" spans="1:14" x14ac:dyDescent="0.3">
      <c r="A75" s="16"/>
      <c r="B75" s="16"/>
      <c r="C75" s="17"/>
      <c r="D75" s="17"/>
      <c r="E75" s="18"/>
      <c r="F75" s="16"/>
      <c r="G75" s="18"/>
      <c r="H75" s="19"/>
      <c r="I75" s="17"/>
      <c r="J75" s="19"/>
      <c r="K75" s="18"/>
      <c r="L75" s="18"/>
      <c r="M75" s="16"/>
      <c r="N75" s="16"/>
    </row>
    <row r="76" spans="1:14" x14ac:dyDescent="0.3">
      <c r="A76" s="16"/>
      <c r="B76" s="16"/>
      <c r="C76" s="17"/>
      <c r="D76" s="17"/>
      <c r="E76" s="18"/>
      <c r="F76" s="16"/>
      <c r="G76" s="18"/>
      <c r="H76" s="19"/>
      <c r="I76" s="17"/>
      <c r="J76" s="19"/>
      <c r="K76" s="18"/>
      <c r="L76" s="18"/>
      <c r="M76" s="16"/>
      <c r="N76" s="16"/>
    </row>
    <row r="77" spans="1:14" x14ac:dyDescent="0.3">
      <c r="A77" s="16"/>
      <c r="B77" s="16"/>
      <c r="C77" s="17"/>
      <c r="D77" s="17"/>
      <c r="E77" s="18"/>
      <c r="F77" s="16"/>
      <c r="G77" s="18"/>
      <c r="H77" s="19"/>
      <c r="I77" s="17"/>
      <c r="J77" s="19"/>
      <c r="K77" s="18"/>
      <c r="L77" s="18"/>
      <c r="M77" s="16"/>
      <c r="N77" s="16"/>
    </row>
    <row r="78" spans="1:14" x14ac:dyDescent="0.3">
      <c r="A78" s="16"/>
      <c r="B78" s="16"/>
      <c r="C78" s="17"/>
      <c r="D78" s="17"/>
      <c r="E78" s="18"/>
      <c r="F78" s="16"/>
      <c r="G78" s="18"/>
      <c r="H78" s="19"/>
      <c r="I78" s="17"/>
      <c r="J78" s="19"/>
      <c r="K78" s="18"/>
      <c r="L78" s="18"/>
      <c r="M78" s="16"/>
      <c r="N78" s="16"/>
    </row>
    <row r="79" spans="1:14" x14ac:dyDescent="0.3">
      <c r="A79" s="16"/>
      <c r="B79" s="16"/>
      <c r="C79" s="17"/>
      <c r="D79" s="17"/>
      <c r="E79" s="18"/>
      <c r="F79" s="16"/>
      <c r="G79" s="18"/>
      <c r="H79" s="19"/>
      <c r="I79" s="17"/>
      <c r="J79" s="19"/>
      <c r="K79" s="18"/>
      <c r="L79" s="18"/>
      <c r="M79" s="16"/>
      <c r="N79" s="16"/>
    </row>
    <row r="80" spans="1:14" x14ac:dyDescent="0.3">
      <c r="A80" s="16"/>
      <c r="B80" s="16"/>
      <c r="C80" s="17"/>
      <c r="D80" s="17"/>
      <c r="E80" s="18"/>
      <c r="F80" s="16"/>
      <c r="G80" s="18"/>
      <c r="H80" s="19"/>
      <c r="I80" s="17"/>
      <c r="J80" s="19"/>
      <c r="K80" s="18"/>
      <c r="L80" s="18"/>
      <c r="M80" s="16"/>
      <c r="N80" s="16"/>
    </row>
    <row r="81" spans="1:14" x14ac:dyDescent="0.3">
      <c r="A81" s="16"/>
      <c r="B81" s="16"/>
      <c r="C81" s="17"/>
      <c r="D81" s="17"/>
      <c r="E81" s="18"/>
      <c r="F81" s="16"/>
      <c r="G81" s="18"/>
      <c r="H81" s="19"/>
      <c r="I81" s="17"/>
      <c r="J81" s="19"/>
      <c r="K81" s="18"/>
      <c r="L81" s="18"/>
      <c r="M81" s="16"/>
      <c r="N81" s="16"/>
    </row>
    <row r="82" spans="1:14" x14ac:dyDescent="0.3">
      <c r="A82" s="16"/>
      <c r="B82" s="16"/>
      <c r="C82" s="17"/>
      <c r="D82" s="17"/>
      <c r="E82" s="18"/>
      <c r="F82" s="16"/>
      <c r="G82" s="18"/>
      <c r="H82" s="19"/>
      <c r="I82" s="17"/>
      <c r="J82" s="19"/>
      <c r="K82" s="18"/>
      <c r="L82" s="18"/>
      <c r="M82" s="16"/>
      <c r="N82" s="16"/>
    </row>
    <row r="83" spans="1:14" x14ac:dyDescent="0.3">
      <c r="A83" s="16"/>
      <c r="B83" s="16"/>
      <c r="C83" s="17"/>
      <c r="D83" s="17"/>
      <c r="E83" s="18"/>
      <c r="F83" s="16"/>
      <c r="G83" s="18"/>
      <c r="H83" s="19"/>
      <c r="I83" s="17"/>
      <c r="J83" s="19"/>
      <c r="K83" s="18"/>
      <c r="L83" s="18"/>
      <c r="M83" s="16"/>
      <c r="N83" s="16"/>
    </row>
    <row r="84" spans="1:14" x14ac:dyDescent="0.3">
      <c r="A84" s="16"/>
      <c r="B84" s="16"/>
      <c r="C84" s="17"/>
      <c r="D84" s="17"/>
      <c r="E84" s="18"/>
      <c r="F84" s="16"/>
      <c r="G84" s="18"/>
      <c r="H84" s="19"/>
      <c r="I84" s="17"/>
      <c r="J84" s="19"/>
      <c r="K84" s="18"/>
      <c r="L84" s="18"/>
      <c r="M84" s="16"/>
      <c r="N84" s="16"/>
    </row>
    <row r="85" spans="1:14" x14ac:dyDescent="0.3">
      <c r="A85" s="16"/>
      <c r="B85" s="16"/>
      <c r="C85" s="17"/>
      <c r="D85" s="17"/>
      <c r="E85" s="18"/>
      <c r="F85" s="16"/>
      <c r="G85" s="18"/>
      <c r="H85" s="19"/>
      <c r="I85" s="17"/>
      <c r="J85" s="19"/>
      <c r="K85" s="18"/>
      <c r="L85" s="18"/>
      <c r="M85" s="16"/>
      <c r="N85" s="16"/>
    </row>
    <row r="86" spans="1:14" x14ac:dyDescent="0.3">
      <c r="A86" s="16"/>
      <c r="B86" s="16"/>
      <c r="C86" s="17"/>
      <c r="D86" s="17"/>
      <c r="E86" s="18"/>
      <c r="F86" s="16"/>
      <c r="G86" s="18"/>
      <c r="H86" s="19"/>
      <c r="I86" s="17"/>
      <c r="J86" s="19"/>
      <c r="K86" s="18"/>
      <c r="L86" s="18"/>
      <c r="M86" s="16"/>
      <c r="N86" s="16"/>
    </row>
    <row r="87" spans="1:14" x14ac:dyDescent="0.3">
      <c r="A87" s="16"/>
      <c r="B87" s="16"/>
      <c r="C87" s="17"/>
      <c r="D87" s="17"/>
      <c r="E87" s="18"/>
      <c r="F87" s="16"/>
      <c r="G87" s="18"/>
      <c r="H87" s="19"/>
      <c r="I87" s="17"/>
      <c r="J87" s="19"/>
      <c r="K87" s="18"/>
      <c r="L87" s="18"/>
      <c r="M87" s="16"/>
      <c r="N87" s="16"/>
    </row>
    <row r="88" spans="1:14" x14ac:dyDescent="0.3">
      <c r="A88" s="16"/>
      <c r="B88" s="16"/>
      <c r="C88" s="17"/>
      <c r="D88" s="17"/>
      <c r="E88" s="18"/>
      <c r="F88" s="16"/>
      <c r="G88" s="18"/>
      <c r="H88" s="19"/>
      <c r="I88" s="17"/>
      <c r="J88" s="19"/>
      <c r="K88" s="18"/>
      <c r="L88" s="18"/>
      <c r="M88" s="16"/>
      <c r="N88" s="16"/>
    </row>
    <row r="89" spans="1:14" x14ac:dyDescent="0.3">
      <c r="A89" s="16"/>
      <c r="B89" s="16"/>
      <c r="C89" s="17"/>
      <c r="D89" s="17"/>
      <c r="E89" s="18"/>
      <c r="F89" s="16"/>
      <c r="G89" s="18"/>
      <c r="H89" s="19"/>
      <c r="I89" s="17"/>
      <c r="J89" s="19"/>
      <c r="K89" s="18"/>
      <c r="L89" s="18"/>
      <c r="M89" s="16"/>
      <c r="N89" s="16"/>
    </row>
    <row r="90" spans="1:14" x14ac:dyDescent="0.3">
      <c r="A90" s="16"/>
      <c r="B90" s="16"/>
      <c r="C90" s="17"/>
      <c r="D90" s="17"/>
      <c r="E90" s="18"/>
      <c r="F90" s="16"/>
      <c r="G90" s="18"/>
      <c r="H90" s="19"/>
      <c r="I90" s="17"/>
      <c r="J90" s="19"/>
      <c r="K90" s="18"/>
      <c r="L90" s="18"/>
      <c r="M90" s="16"/>
      <c r="N90" s="16"/>
    </row>
    <row r="91" spans="1:14" x14ac:dyDescent="0.3">
      <c r="A91" s="16"/>
      <c r="B91" s="16"/>
      <c r="C91" s="17"/>
      <c r="D91" s="17"/>
      <c r="E91" s="18"/>
      <c r="F91" s="16"/>
      <c r="G91" s="18"/>
      <c r="H91" s="19"/>
      <c r="I91" s="17"/>
      <c r="J91" s="19"/>
      <c r="K91" s="18"/>
      <c r="L91" s="18"/>
      <c r="M91" s="16"/>
      <c r="N91" s="16"/>
    </row>
    <row r="92" spans="1:14" x14ac:dyDescent="0.3">
      <c r="A92" s="16"/>
      <c r="B92" s="16"/>
      <c r="C92" s="17"/>
      <c r="D92" s="17"/>
      <c r="E92" s="18"/>
      <c r="F92" s="16"/>
      <c r="G92" s="18"/>
      <c r="H92" s="19"/>
      <c r="I92" s="17"/>
      <c r="J92" s="19"/>
      <c r="K92" s="18"/>
      <c r="L92" s="18"/>
      <c r="M92" s="16"/>
      <c r="N92" s="16"/>
    </row>
    <row r="93" spans="1:14" x14ac:dyDescent="0.3">
      <c r="A93" s="16"/>
      <c r="B93" s="16"/>
      <c r="C93" s="17"/>
      <c r="D93" s="17"/>
      <c r="E93" s="18"/>
      <c r="F93" s="16"/>
      <c r="G93" s="18"/>
      <c r="H93" s="19"/>
      <c r="I93" s="17"/>
      <c r="J93" s="19"/>
      <c r="K93" s="18"/>
      <c r="L93" s="18"/>
      <c r="M93" s="16"/>
      <c r="N93" s="16"/>
    </row>
    <row r="94" spans="1:14" x14ac:dyDescent="0.3">
      <c r="A94" s="16"/>
      <c r="B94" s="16"/>
      <c r="C94" s="17"/>
      <c r="D94" s="17"/>
      <c r="E94" s="18"/>
      <c r="F94" s="16"/>
      <c r="G94" s="18"/>
      <c r="H94" s="19"/>
      <c r="I94" s="17"/>
      <c r="J94" s="19"/>
      <c r="K94" s="18"/>
      <c r="L94" s="18"/>
      <c r="M94" s="16"/>
      <c r="N94" s="16"/>
    </row>
    <row r="95" spans="1:14" x14ac:dyDescent="0.3">
      <c r="A95" s="16"/>
      <c r="B95" s="16"/>
      <c r="C95" s="17"/>
      <c r="D95" s="17"/>
      <c r="E95" s="18"/>
      <c r="F95" s="16"/>
      <c r="G95" s="18"/>
      <c r="H95" s="19"/>
      <c r="I95" s="17"/>
      <c r="J95" s="19"/>
      <c r="K95" s="18"/>
      <c r="L95" s="18"/>
      <c r="M95" s="16"/>
      <c r="N95" s="16"/>
    </row>
    <row r="96" spans="1:14" x14ac:dyDescent="0.3">
      <c r="A96" s="16"/>
      <c r="B96" s="16"/>
      <c r="C96" s="17"/>
      <c r="D96" s="17"/>
      <c r="E96" s="18"/>
      <c r="F96" s="16"/>
      <c r="G96" s="18"/>
      <c r="H96" s="19"/>
      <c r="I96" s="17"/>
      <c r="J96" s="19"/>
      <c r="K96" s="18"/>
      <c r="L96" s="18"/>
      <c r="M96" s="16"/>
      <c r="N96" s="16"/>
    </row>
    <row r="97" spans="1:14" x14ac:dyDescent="0.3">
      <c r="A97" s="16"/>
      <c r="B97" s="16"/>
      <c r="C97" s="17"/>
      <c r="D97" s="17"/>
      <c r="E97" s="18"/>
      <c r="F97" s="16"/>
      <c r="G97" s="18"/>
      <c r="H97" s="19"/>
      <c r="I97" s="17"/>
      <c r="J97" s="19"/>
      <c r="K97" s="18"/>
      <c r="L97" s="18"/>
      <c r="M97" s="16"/>
      <c r="N97" s="16"/>
    </row>
    <row r="98" spans="1:14" x14ac:dyDescent="0.3">
      <c r="A98" s="16"/>
      <c r="B98" s="16"/>
      <c r="C98" s="17"/>
      <c r="D98" s="17"/>
      <c r="E98" s="18"/>
      <c r="F98" s="16"/>
      <c r="G98" s="18"/>
      <c r="H98" s="19"/>
      <c r="I98" s="17"/>
      <c r="J98" s="19"/>
      <c r="K98" s="18"/>
      <c r="L98" s="18"/>
      <c r="M98" s="16"/>
      <c r="N98" s="16"/>
    </row>
    <row r="99" spans="1:14" x14ac:dyDescent="0.3">
      <c r="A99" s="16"/>
      <c r="B99" s="16"/>
      <c r="C99" s="17"/>
      <c r="D99" s="17"/>
      <c r="E99" s="18"/>
      <c r="F99" s="16"/>
      <c r="G99" s="18"/>
      <c r="H99" s="19"/>
      <c r="I99" s="17"/>
      <c r="J99" s="19"/>
      <c r="K99" s="18"/>
      <c r="L99" s="18"/>
      <c r="M99" s="16"/>
      <c r="N99" s="16"/>
    </row>
    <row r="100" spans="1:14" x14ac:dyDescent="0.3">
      <c r="A100" s="16"/>
      <c r="B100" s="16"/>
      <c r="C100" s="17"/>
      <c r="D100" s="17"/>
      <c r="E100" s="18"/>
      <c r="F100" s="16"/>
      <c r="G100" s="18"/>
      <c r="H100" s="19"/>
      <c r="I100" s="17"/>
      <c r="J100" s="19"/>
      <c r="K100" s="18"/>
      <c r="L100" s="18"/>
      <c r="M100" s="16"/>
      <c r="N100" s="16"/>
    </row>
    <row r="101" spans="1:14" x14ac:dyDescent="0.3">
      <c r="A101" s="16"/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</row>
    <row r="102" spans="1:14" x14ac:dyDescent="0.3">
      <c r="A102" s="16"/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</row>
    <row r="103" spans="1:14" x14ac:dyDescent="0.3">
      <c r="A103" s="16"/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</row>
    <row r="104" spans="1:14" x14ac:dyDescent="0.3">
      <c r="A104" s="16"/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</row>
    <row r="105" spans="1:14" x14ac:dyDescent="0.3">
      <c r="A105" s="16"/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</row>
    <row r="106" spans="1:14" x14ac:dyDescent="0.3">
      <c r="A106" s="16"/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</row>
    <row r="107" spans="1:14" x14ac:dyDescent="0.3">
      <c r="A107" s="16"/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</row>
    <row r="108" spans="1:14" x14ac:dyDescent="0.3">
      <c r="A108" s="16"/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</row>
    <row r="109" spans="1:14" x14ac:dyDescent="0.3">
      <c r="A109" s="16"/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</row>
    <row r="110" spans="1:14" x14ac:dyDescent="0.3">
      <c r="A110" s="16"/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</row>
    <row r="111" spans="1:14" x14ac:dyDescent="0.3">
      <c r="A111" s="16"/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N111" s="16"/>
    </row>
    <row r="112" spans="1:14" x14ac:dyDescent="0.3">
      <c r="A112" s="16"/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16"/>
    </row>
    <row r="113" spans="1:14" x14ac:dyDescent="0.3">
      <c r="A113" s="16"/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6"/>
      <c r="N113" s="16"/>
    </row>
    <row r="114" spans="1:14" x14ac:dyDescent="0.3">
      <c r="A114" s="16"/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N114" s="16"/>
    </row>
    <row r="115" spans="1:14" x14ac:dyDescent="0.3">
      <c r="A115" s="16"/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 s="16"/>
    </row>
    <row r="116" spans="1:14" x14ac:dyDescent="0.3">
      <c r="A116" s="16"/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</row>
    <row r="117" spans="1:14" x14ac:dyDescent="0.3">
      <c r="A117" s="16"/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</row>
    <row r="118" spans="1:14" x14ac:dyDescent="0.3">
      <c r="A118" s="16"/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</row>
    <row r="119" spans="1:14" x14ac:dyDescent="0.3">
      <c r="A119" s="16"/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</row>
    <row r="120" spans="1:14" x14ac:dyDescent="0.3">
      <c r="A120" s="16"/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</row>
    <row r="121" spans="1:14" x14ac:dyDescent="0.3">
      <c r="A121" s="16"/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</row>
    <row r="122" spans="1:14" x14ac:dyDescent="0.3">
      <c r="A122" s="16"/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</row>
    <row r="123" spans="1:14" x14ac:dyDescent="0.3">
      <c r="A123" s="16"/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</row>
    <row r="124" spans="1:14" x14ac:dyDescent="0.3">
      <c r="A124" s="16"/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</row>
    <row r="125" spans="1:14" x14ac:dyDescent="0.3">
      <c r="A125" s="16"/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</row>
    <row r="126" spans="1:14" x14ac:dyDescent="0.3">
      <c r="A126" s="16"/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</row>
    <row r="127" spans="1:14" x14ac:dyDescent="0.3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</row>
    <row r="128" spans="1:14" x14ac:dyDescent="0.3">
      <c r="A128" s="16"/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</row>
    <row r="129" spans="1:14" x14ac:dyDescent="0.3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</row>
    <row r="130" spans="1:14" x14ac:dyDescent="0.3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</row>
    <row r="131" spans="1:14" x14ac:dyDescent="0.3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</row>
    <row r="132" spans="1:14" x14ac:dyDescent="0.3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</row>
    <row r="133" spans="1:14" x14ac:dyDescent="0.3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</row>
    <row r="134" spans="1:14" x14ac:dyDescent="0.3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</row>
    <row r="135" spans="1:14" x14ac:dyDescent="0.3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</row>
    <row r="136" spans="1:14" x14ac:dyDescent="0.3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</row>
    <row r="137" spans="1:14" x14ac:dyDescent="0.3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</row>
    <row r="138" spans="1:14" x14ac:dyDescent="0.3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</row>
    <row r="139" spans="1:14" x14ac:dyDescent="0.3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</row>
    <row r="140" spans="1:14" x14ac:dyDescent="0.3">
      <c r="A140" s="16"/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6"/>
      <c r="N140" s="16"/>
    </row>
    <row r="141" spans="1:14" x14ac:dyDescent="0.3">
      <c r="A141" s="16"/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6"/>
      <c r="N141" s="16"/>
    </row>
    <row r="142" spans="1:14" x14ac:dyDescent="0.3">
      <c r="A142" s="16"/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</row>
    <row r="143" spans="1:14" x14ac:dyDescent="0.3">
      <c r="A143" s="16"/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</row>
    <row r="144" spans="1:14" x14ac:dyDescent="0.3">
      <c r="A144" s="16"/>
      <c r="B144" s="16"/>
      <c r="C144" s="16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</row>
    <row r="145" spans="1:14" x14ac:dyDescent="0.3">
      <c r="A145" s="16"/>
      <c r="B145" s="16"/>
      <c r="C145" s="16"/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6"/>
    </row>
    <row r="146" spans="1:14" x14ac:dyDescent="0.3">
      <c r="A146" s="16"/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6"/>
      <c r="N146" s="16"/>
    </row>
    <row r="147" spans="1:14" x14ac:dyDescent="0.3">
      <c r="A147" s="16"/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6"/>
      <c r="N147" s="16"/>
    </row>
    <row r="148" spans="1:14" x14ac:dyDescent="0.3">
      <c r="A148" s="16"/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6"/>
      <c r="N148" s="16"/>
    </row>
    <row r="149" spans="1:14" x14ac:dyDescent="0.3">
      <c r="A149" s="16"/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6"/>
      <c r="N149" s="16"/>
    </row>
    <row r="150" spans="1:14" x14ac:dyDescent="0.3">
      <c r="A150" s="16"/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6"/>
      <c r="N150" s="16"/>
    </row>
  </sheetData>
  <mergeCells count="4">
    <mergeCell ref="C5:F5"/>
    <mergeCell ref="C4:F4"/>
    <mergeCell ref="A1:M1"/>
    <mergeCell ref="A38:B38"/>
  </mergeCells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0"/>
  <sheetViews>
    <sheetView workbookViewId="0">
      <selection sqref="A1:M1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14" t="s">
        <v>251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</row>
    <row r="2" spans="1:13" ht="28.05" customHeigh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ht="7.95" customHeight="1" x14ac:dyDescent="0.3"/>
    <row r="4" spans="1:13" ht="22.05" customHeight="1" x14ac:dyDescent="0.3">
      <c r="B4" s="5" t="s">
        <v>237</v>
      </c>
      <c r="C4" s="13"/>
      <c r="D4" s="13"/>
      <c r="E4" s="13"/>
      <c r="F4" s="13"/>
    </row>
    <row r="5" spans="1:13" ht="22.05" customHeight="1" x14ac:dyDescent="0.3">
      <c r="B5" s="5" t="s">
        <v>238</v>
      </c>
      <c r="C5" s="12"/>
      <c r="D5" s="12"/>
      <c r="E5" s="12"/>
      <c r="F5" s="12"/>
    </row>
    <row r="6" spans="1:13" ht="7.95" customHeight="1" x14ac:dyDescent="0.3"/>
    <row r="10" spans="1:13" ht="24" customHeight="1" x14ac:dyDescent="0.3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3">
    <mergeCell ref="C5:F5"/>
    <mergeCell ref="C4:F4"/>
    <mergeCell ref="A1:M1"/>
  </mergeCell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00"/>
  <sheetViews>
    <sheetView topLeftCell="A34" workbookViewId="0">
      <selection sqref="A1:M1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14" t="s">
        <v>252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</row>
    <row r="2" spans="1:13" ht="28.05" customHeigh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ht="7.95" customHeight="1" x14ac:dyDescent="0.3"/>
    <row r="4" spans="1:13" ht="22.05" customHeight="1" x14ac:dyDescent="0.3">
      <c r="B4" s="5" t="s">
        <v>237</v>
      </c>
      <c r="C4" s="13"/>
      <c r="D4" s="13"/>
      <c r="E4" s="13"/>
      <c r="F4" s="13"/>
    </row>
    <row r="5" spans="1:13" ht="22.05" customHeight="1" x14ac:dyDescent="0.3">
      <c r="B5" s="5" t="s">
        <v>238</v>
      </c>
      <c r="C5" s="12"/>
      <c r="D5" s="12"/>
      <c r="E5" s="12"/>
      <c r="F5" s="12"/>
    </row>
    <row r="6" spans="1:13" ht="7.95" customHeight="1" x14ac:dyDescent="0.3"/>
    <row r="10" spans="1:13" ht="24" customHeight="1" x14ac:dyDescent="0.3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3">
    <mergeCell ref="C5:F5"/>
    <mergeCell ref="C4:F4"/>
    <mergeCell ref="A1:M1"/>
  </mergeCell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00"/>
  <sheetViews>
    <sheetView workbookViewId="0"/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14" t="s">
        <v>253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</row>
    <row r="2" spans="1:13" ht="28.05" customHeigh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ht="7.95" customHeight="1" x14ac:dyDescent="0.3"/>
    <row r="4" spans="1:13" ht="22.05" customHeight="1" x14ac:dyDescent="0.3">
      <c r="B4" s="5" t="s">
        <v>237</v>
      </c>
      <c r="C4" s="13"/>
      <c r="D4" s="13"/>
      <c r="E4" s="13"/>
      <c r="F4" s="13"/>
    </row>
    <row r="5" spans="1:13" ht="22.05" customHeight="1" x14ac:dyDescent="0.3">
      <c r="B5" s="5" t="s">
        <v>238</v>
      </c>
      <c r="C5" s="12"/>
      <c r="D5" s="12"/>
      <c r="E5" s="12"/>
      <c r="F5" s="12"/>
    </row>
    <row r="6" spans="1:13" ht="7.95" customHeight="1" x14ac:dyDescent="0.3"/>
    <row r="10" spans="1:13" ht="24" customHeight="1" x14ac:dyDescent="0.3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3">
    <mergeCell ref="C5:F5"/>
    <mergeCell ref="C4:F4"/>
    <mergeCell ref="A1:M1"/>
  </mergeCell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/>
  </sheetViews>
  <sheetFormatPr defaultRowHeight="14.4" x14ac:dyDescent="0.3"/>
  <sheetData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77"/>
  <sheetViews>
    <sheetView workbookViewId="0">
      <selection activeCell="G197" sqref="G197"/>
    </sheetView>
  </sheetViews>
  <sheetFormatPr defaultRowHeight="14.4" x14ac:dyDescent="0.3"/>
  <cols>
    <col min="7" max="7" width="17.44140625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v>1</v>
      </c>
      <c r="B2" t="s">
        <v>9</v>
      </c>
      <c r="C2">
        <v>969</v>
      </c>
      <c r="D2">
        <v>95030020</v>
      </c>
      <c r="E2">
        <v>0.05</v>
      </c>
      <c r="F2" t="s">
        <v>9</v>
      </c>
      <c r="G2">
        <v>8908006537105</v>
      </c>
    </row>
    <row r="3" spans="1:9" x14ac:dyDescent="0.3">
      <c r="A3">
        <v>2</v>
      </c>
      <c r="B3" t="s">
        <v>10</v>
      </c>
      <c r="C3">
        <v>1059</v>
      </c>
      <c r="D3">
        <v>95030020</v>
      </c>
      <c r="E3">
        <v>0.05</v>
      </c>
      <c r="F3" t="s">
        <v>10</v>
      </c>
      <c r="G3">
        <v>8908006537112</v>
      </c>
      <c r="H3">
        <v>8606916</v>
      </c>
    </row>
    <row r="4" spans="1:9" x14ac:dyDescent="0.3">
      <c r="A4">
        <v>3</v>
      </c>
      <c r="B4" t="s">
        <v>11</v>
      </c>
      <c r="C4">
        <v>969</v>
      </c>
      <c r="D4">
        <v>95030020</v>
      </c>
      <c r="E4">
        <v>0.05</v>
      </c>
      <c r="F4" t="s">
        <v>11</v>
      </c>
      <c r="G4">
        <v>8908006537129</v>
      </c>
    </row>
    <row r="5" spans="1:9" x14ac:dyDescent="0.3">
      <c r="A5">
        <v>4</v>
      </c>
      <c r="B5" t="s">
        <v>12</v>
      </c>
      <c r="C5">
        <v>969</v>
      </c>
      <c r="D5">
        <v>95030020</v>
      </c>
      <c r="E5">
        <v>0.05</v>
      </c>
      <c r="F5" t="s">
        <v>12</v>
      </c>
      <c r="G5">
        <v>8908006537136</v>
      </c>
    </row>
    <row r="6" spans="1:9" x14ac:dyDescent="0.3">
      <c r="A6">
        <v>5</v>
      </c>
      <c r="B6" t="s">
        <v>13</v>
      </c>
      <c r="C6">
        <v>1159</v>
      </c>
      <c r="D6">
        <v>95030020</v>
      </c>
      <c r="E6">
        <v>0.05</v>
      </c>
      <c r="F6" t="s">
        <v>13</v>
      </c>
      <c r="G6">
        <v>8908006537167</v>
      </c>
    </row>
    <row r="7" spans="1:9" x14ac:dyDescent="0.3">
      <c r="A7">
        <v>6</v>
      </c>
      <c r="B7" t="s">
        <v>14</v>
      </c>
      <c r="C7">
        <v>1349</v>
      </c>
      <c r="D7">
        <v>95030020</v>
      </c>
      <c r="E7">
        <v>0.05</v>
      </c>
      <c r="F7" t="s">
        <v>14</v>
      </c>
      <c r="G7">
        <v>8908006537174</v>
      </c>
    </row>
    <row r="8" spans="1:9" x14ac:dyDescent="0.3">
      <c r="A8">
        <v>7</v>
      </c>
      <c r="B8" t="s">
        <v>15</v>
      </c>
      <c r="C8">
        <v>339</v>
      </c>
      <c r="D8">
        <v>95030020</v>
      </c>
      <c r="E8">
        <v>0.05</v>
      </c>
      <c r="F8" t="s">
        <v>15</v>
      </c>
      <c r="G8">
        <v>8908006537204</v>
      </c>
    </row>
    <row r="9" spans="1:9" x14ac:dyDescent="0.3">
      <c r="A9">
        <v>8</v>
      </c>
      <c r="B9" t="s">
        <v>16</v>
      </c>
      <c r="C9">
        <v>339</v>
      </c>
      <c r="D9">
        <v>95030020</v>
      </c>
      <c r="E9">
        <v>0.05</v>
      </c>
      <c r="F9" t="s">
        <v>16</v>
      </c>
      <c r="G9">
        <v>8908006537211</v>
      </c>
    </row>
    <row r="10" spans="1:9" x14ac:dyDescent="0.3">
      <c r="A10">
        <v>9</v>
      </c>
      <c r="B10" t="s">
        <v>17</v>
      </c>
      <c r="C10">
        <v>339</v>
      </c>
      <c r="D10">
        <v>95030020</v>
      </c>
      <c r="E10">
        <v>0.05</v>
      </c>
      <c r="F10" t="s">
        <v>17</v>
      </c>
      <c r="G10">
        <v>8908006537228</v>
      </c>
    </row>
    <row r="11" spans="1:9" x14ac:dyDescent="0.3">
      <c r="A11">
        <v>10</v>
      </c>
      <c r="B11" t="s">
        <v>18</v>
      </c>
      <c r="C11">
        <v>339</v>
      </c>
      <c r="D11">
        <v>95030020</v>
      </c>
      <c r="E11">
        <v>0.05</v>
      </c>
      <c r="F11" t="s">
        <v>18</v>
      </c>
      <c r="G11">
        <v>8908006537235</v>
      </c>
    </row>
    <row r="12" spans="1:9" x14ac:dyDescent="0.3">
      <c r="A12">
        <v>11</v>
      </c>
      <c r="B12" t="s">
        <v>19</v>
      </c>
      <c r="C12">
        <v>339</v>
      </c>
      <c r="D12">
        <v>95030020</v>
      </c>
      <c r="E12">
        <v>0.05</v>
      </c>
      <c r="F12" t="s">
        <v>19</v>
      </c>
      <c r="G12">
        <v>8908006537242</v>
      </c>
    </row>
    <row r="13" spans="1:9" x14ac:dyDescent="0.3">
      <c r="A13">
        <v>12</v>
      </c>
      <c r="B13" t="s">
        <v>20</v>
      </c>
      <c r="C13">
        <v>339</v>
      </c>
      <c r="D13">
        <v>95030020</v>
      </c>
      <c r="E13">
        <v>0.05</v>
      </c>
      <c r="F13" t="s">
        <v>20</v>
      </c>
      <c r="G13">
        <v>8908006537259</v>
      </c>
    </row>
    <row r="14" spans="1:9" x14ac:dyDescent="0.3">
      <c r="A14">
        <v>13</v>
      </c>
      <c r="B14" t="s">
        <v>21</v>
      </c>
      <c r="C14">
        <v>729</v>
      </c>
      <c r="D14">
        <v>95030020</v>
      </c>
      <c r="E14">
        <v>0.05</v>
      </c>
      <c r="F14" t="s">
        <v>21</v>
      </c>
      <c r="G14">
        <v>8908006537266</v>
      </c>
    </row>
    <row r="15" spans="1:9" x14ac:dyDescent="0.3">
      <c r="A15">
        <v>14</v>
      </c>
      <c r="B15" t="s">
        <v>22</v>
      </c>
      <c r="C15">
        <v>1159</v>
      </c>
      <c r="D15">
        <v>95030020</v>
      </c>
      <c r="E15">
        <v>0.05</v>
      </c>
      <c r="F15" t="s">
        <v>22</v>
      </c>
      <c r="G15">
        <v>8908006537273</v>
      </c>
    </row>
    <row r="16" spans="1:9" x14ac:dyDescent="0.3">
      <c r="A16">
        <v>15</v>
      </c>
      <c r="B16" t="s">
        <v>23</v>
      </c>
      <c r="C16">
        <v>1059</v>
      </c>
      <c r="D16">
        <v>95030020</v>
      </c>
      <c r="E16">
        <v>0.05</v>
      </c>
      <c r="F16" t="s">
        <v>23</v>
      </c>
      <c r="G16">
        <v>8908006537303</v>
      </c>
    </row>
    <row r="17" spans="1:9" x14ac:dyDescent="0.3">
      <c r="A17">
        <v>16</v>
      </c>
      <c r="B17" t="s">
        <v>24</v>
      </c>
      <c r="C17">
        <v>1399</v>
      </c>
      <c r="D17">
        <v>95030020</v>
      </c>
      <c r="E17">
        <v>0.05</v>
      </c>
      <c r="F17" t="s">
        <v>24</v>
      </c>
      <c r="G17">
        <v>8908006537310</v>
      </c>
      <c r="H17">
        <v>8606924</v>
      </c>
    </row>
    <row r="18" spans="1:9" x14ac:dyDescent="0.3">
      <c r="A18">
        <v>17</v>
      </c>
      <c r="B18" t="s">
        <v>25</v>
      </c>
      <c r="C18">
        <v>339</v>
      </c>
      <c r="D18">
        <v>95030020</v>
      </c>
      <c r="E18">
        <v>0.05</v>
      </c>
      <c r="F18" t="s">
        <v>25</v>
      </c>
      <c r="G18">
        <v>8908006537327</v>
      </c>
    </row>
    <row r="19" spans="1:9" x14ac:dyDescent="0.3">
      <c r="A19">
        <v>18</v>
      </c>
      <c r="B19" t="s">
        <v>26</v>
      </c>
      <c r="C19">
        <v>339</v>
      </c>
      <c r="D19">
        <v>95030020</v>
      </c>
      <c r="E19">
        <v>0.05</v>
      </c>
      <c r="F19" t="s">
        <v>26</v>
      </c>
      <c r="G19">
        <v>8908006537334</v>
      </c>
    </row>
    <row r="20" spans="1:9" x14ac:dyDescent="0.3">
      <c r="A20">
        <v>19</v>
      </c>
      <c r="B20" t="s">
        <v>27</v>
      </c>
      <c r="C20">
        <v>339</v>
      </c>
      <c r="D20">
        <v>95030020</v>
      </c>
      <c r="E20">
        <v>0.05</v>
      </c>
      <c r="F20" t="s">
        <v>27</v>
      </c>
      <c r="G20">
        <v>8908006537341</v>
      </c>
    </row>
    <row r="21" spans="1:9" x14ac:dyDescent="0.3">
      <c r="A21">
        <v>20</v>
      </c>
      <c r="B21" t="s">
        <v>28</v>
      </c>
      <c r="C21">
        <v>2229</v>
      </c>
      <c r="D21">
        <v>95030020</v>
      </c>
      <c r="E21">
        <v>0.05</v>
      </c>
      <c r="F21" t="s">
        <v>28</v>
      </c>
      <c r="G21">
        <v>8908006537365</v>
      </c>
    </row>
    <row r="22" spans="1:9" x14ac:dyDescent="0.3">
      <c r="A22">
        <v>21</v>
      </c>
      <c r="B22" t="s">
        <v>29</v>
      </c>
      <c r="C22">
        <v>849</v>
      </c>
      <c r="D22">
        <v>95030020</v>
      </c>
      <c r="E22">
        <v>0.05</v>
      </c>
      <c r="F22" t="s">
        <v>29</v>
      </c>
      <c r="G22">
        <v>8908006537396</v>
      </c>
      <c r="I22">
        <v>61820</v>
      </c>
    </row>
    <row r="23" spans="1:9" x14ac:dyDescent="0.3">
      <c r="A23">
        <v>22</v>
      </c>
      <c r="B23" t="s">
        <v>30</v>
      </c>
      <c r="C23">
        <v>869</v>
      </c>
      <c r="D23">
        <v>95030020</v>
      </c>
      <c r="E23">
        <v>0.05</v>
      </c>
      <c r="F23" t="s">
        <v>30</v>
      </c>
      <c r="G23">
        <v>8908006537419</v>
      </c>
    </row>
    <row r="24" spans="1:9" x14ac:dyDescent="0.3">
      <c r="A24">
        <v>23</v>
      </c>
      <c r="B24" t="s">
        <v>31</v>
      </c>
      <c r="C24">
        <v>339</v>
      </c>
      <c r="D24">
        <v>95030020</v>
      </c>
      <c r="E24">
        <v>0.05</v>
      </c>
      <c r="F24" t="s">
        <v>31</v>
      </c>
      <c r="G24">
        <v>8908006537426</v>
      </c>
    </row>
    <row r="25" spans="1:9" x14ac:dyDescent="0.3">
      <c r="A25">
        <v>24</v>
      </c>
      <c r="B25" t="s">
        <v>32</v>
      </c>
      <c r="C25">
        <v>339</v>
      </c>
      <c r="D25">
        <v>95030020</v>
      </c>
      <c r="E25">
        <v>0.05</v>
      </c>
      <c r="F25" t="s">
        <v>32</v>
      </c>
      <c r="G25">
        <v>8908006537433</v>
      </c>
    </row>
    <row r="26" spans="1:9" x14ac:dyDescent="0.3">
      <c r="A26">
        <v>25</v>
      </c>
      <c r="B26" t="s">
        <v>33</v>
      </c>
      <c r="C26">
        <v>339</v>
      </c>
      <c r="D26">
        <v>95030020</v>
      </c>
      <c r="E26">
        <v>0.05</v>
      </c>
      <c r="F26" t="s">
        <v>33</v>
      </c>
      <c r="G26">
        <v>8908006537440</v>
      </c>
    </row>
    <row r="27" spans="1:9" x14ac:dyDescent="0.3">
      <c r="A27">
        <v>26</v>
      </c>
      <c r="B27" t="s">
        <v>34</v>
      </c>
      <c r="C27">
        <v>339</v>
      </c>
      <c r="D27">
        <v>95030020</v>
      </c>
      <c r="E27">
        <v>0.05</v>
      </c>
      <c r="F27" t="s">
        <v>34</v>
      </c>
      <c r="G27">
        <v>8908006537457</v>
      </c>
    </row>
    <row r="28" spans="1:9" x14ac:dyDescent="0.3">
      <c r="A28">
        <v>27</v>
      </c>
      <c r="B28" t="s">
        <v>35</v>
      </c>
      <c r="C28">
        <v>339</v>
      </c>
      <c r="D28">
        <v>95030020</v>
      </c>
      <c r="E28">
        <v>0.05</v>
      </c>
      <c r="F28" t="s">
        <v>35</v>
      </c>
      <c r="G28">
        <v>8908006537464</v>
      </c>
    </row>
    <row r="29" spans="1:9" x14ac:dyDescent="0.3">
      <c r="A29">
        <v>28</v>
      </c>
      <c r="B29" t="s">
        <v>36</v>
      </c>
      <c r="C29">
        <v>769</v>
      </c>
      <c r="D29">
        <v>95030020</v>
      </c>
      <c r="E29">
        <v>0.05</v>
      </c>
      <c r="F29" t="s">
        <v>36</v>
      </c>
      <c r="G29">
        <v>8908006537471</v>
      </c>
      <c r="I29">
        <v>64139</v>
      </c>
    </row>
    <row r="30" spans="1:9" x14ac:dyDescent="0.3">
      <c r="A30">
        <v>29</v>
      </c>
      <c r="B30" t="s">
        <v>37</v>
      </c>
      <c r="C30">
        <v>679</v>
      </c>
      <c r="D30">
        <v>95030020</v>
      </c>
      <c r="E30">
        <v>0.05</v>
      </c>
      <c r="F30" t="s">
        <v>37</v>
      </c>
      <c r="G30">
        <v>8908006537488</v>
      </c>
    </row>
    <row r="31" spans="1:9" x14ac:dyDescent="0.3">
      <c r="A31">
        <v>30</v>
      </c>
      <c r="B31" t="s">
        <v>38</v>
      </c>
      <c r="C31">
        <v>679</v>
      </c>
      <c r="D31">
        <v>95030020</v>
      </c>
      <c r="E31">
        <v>0.05</v>
      </c>
      <c r="F31" t="s">
        <v>38</v>
      </c>
      <c r="G31">
        <v>8908006537501</v>
      </c>
    </row>
    <row r="32" spans="1:9" x14ac:dyDescent="0.3">
      <c r="A32">
        <v>31</v>
      </c>
      <c r="B32" t="s">
        <v>39</v>
      </c>
      <c r="C32">
        <v>1059</v>
      </c>
      <c r="D32">
        <v>95030020</v>
      </c>
      <c r="E32">
        <v>0.05</v>
      </c>
      <c r="F32" t="s">
        <v>39</v>
      </c>
      <c r="G32">
        <v>8908006537556</v>
      </c>
    </row>
    <row r="33" spans="1:8" x14ac:dyDescent="0.3">
      <c r="A33">
        <v>32</v>
      </c>
      <c r="B33" t="s">
        <v>40</v>
      </c>
      <c r="C33">
        <v>1899</v>
      </c>
      <c r="D33">
        <v>95030010</v>
      </c>
      <c r="E33">
        <v>0.18</v>
      </c>
      <c r="F33" t="s">
        <v>40</v>
      </c>
      <c r="G33">
        <v>8908006537570</v>
      </c>
    </row>
    <row r="34" spans="1:8" x14ac:dyDescent="0.3">
      <c r="A34">
        <v>33</v>
      </c>
      <c r="B34" t="s">
        <v>41</v>
      </c>
      <c r="C34">
        <v>4999</v>
      </c>
      <c r="D34">
        <v>95030010</v>
      </c>
      <c r="E34">
        <v>0.18</v>
      </c>
      <c r="F34" t="s">
        <v>41</v>
      </c>
      <c r="G34">
        <v>8908006537631</v>
      </c>
    </row>
    <row r="35" spans="1:8" x14ac:dyDescent="0.3">
      <c r="A35">
        <v>34</v>
      </c>
      <c r="B35" t="s">
        <v>42</v>
      </c>
      <c r="C35">
        <v>1159</v>
      </c>
      <c r="D35">
        <v>95030020</v>
      </c>
      <c r="E35">
        <v>0.05</v>
      </c>
      <c r="F35" t="s">
        <v>42</v>
      </c>
      <c r="G35">
        <v>8908006537716</v>
      </c>
    </row>
    <row r="36" spans="1:8" x14ac:dyDescent="0.3">
      <c r="A36">
        <v>35</v>
      </c>
      <c r="B36" t="s">
        <v>43</v>
      </c>
      <c r="C36">
        <v>1159</v>
      </c>
      <c r="D36">
        <v>95030020</v>
      </c>
      <c r="E36">
        <v>0.05</v>
      </c>
      <c r="F36" t="s">
        <v>43</v>
      </c>
      <c r="G36">
        <v>8908006537723</v>
      </c>
    </row>
    <row r="37" spans="1:8" x14ac:dyDescent="0.3">
      <c r="A37">
        <v>36</v>
      </c>
      <c r="B37" t="s">
        <v>44</v>
      </c>
      <c r="C37">
        <v>969</v>
      </c>
      <c r="D37">
        <v>95030020</v>
      </c>
      <c r="E37">
        <v>0.05</v>
      </c>
      <c r="F37" t="s">
        <v>44</v>
      </c>
      <c r="G37">
        <v>8908006537730</v>
      </c>
    </row>
    <row r="38" spans="1:8" x14ac:dyDescent="0.3">
      <c r="A38">
        <v>37</v>
      </c>
      <c r="B38" t="s">
        <v>45</v>
      </c>
      <c r="C38">
        <v>159</v>
      </c>
      <c r="D38">
        <v>95030020</v>
      </c>
      <c r="E38">
        <v>0.05</v>
      </c>
      <c r="F38" t="s">
        <v>45</v>
      </c>
      <c r="G38">
        <v>8908006537778</v>
      </c>
    </row>
    <row r="39" spans="1:8" x14ac:dyDescent="0.3">
      <c r="A39">
        <v>38</v>
      </c>
      <c r="B39" t="s">
        <v>46</v>
      </c>
      <c r="C39">
        <v>159</v>
      </c>
      <c r="D39">
        <v>95030020</v>
      </c>
      <c r="E39">
        <v>0.05</v>
      </c>
      <c r="F39" t="s">
        <v>46</v>
      </c>
      <c r="G39">
        <v>8908006537785</v>
      </c>
    </row>
    <row r="40" spans="1:8" x14ac:dyDescent="0.3">
      <c r="A40">
        <v>39</v>
      </c>
      <c r="B40" t="s">
        <v>47</v>
      </c>
      <c r="C40">
        <v>159</v>
      </c>
      <c r="D40">
        <v>95030020</v>
      </c>
      <c r="E40">
        <v>0.05</v>
      </c>
      <c r="F40" t="s">
        <v>47</v>
      </c>
      <c r="G40">
        <v>8908006537792</v>
      </c>
    </row>
    <row r="41" spans="1:8" x14ac:dyDescent="0.3">
      <c r="A41">
        <v>40</v>
      </c>
      <c r="B41" t="s">
        <v>48</v>
      </c>
      <c r="C41">
        <v>159</v>
      </c>
      <c r="D41">
        <v>95030020</v>
      </c>
      <c r="E41">
        <v>0.05</v>
      </c>
      <c r="F41" t="s">
        <v>48</v>
      </c>
      <c r="G41">
        <v>8908006537808</v>
      </c>
    </row>
    <row r="42" spans="1:8" x14ac:dyDescent="0.3">
      <c r="A42">
        <v>41</v>
      </c>
      <c r="B42" t="s">
        <v>49</v>
      </c>
      <c r="C42">
        <v>159</v>
      </c>
      <c r="D42">
        <v>95030020</v>
      </c>
      <c r="E42">
        <v>0.05</v>
      </c>
      <c r="F42" t="s">
        <v>49</v>
      </c>
      <c r="G42">
        <v>8908006537815</v>
      </c>
    </row>
    <row r="43" spans="1:8" x14ac:dyDescent="0.3">
      <c r="A43">
        <v>42</v>
      </c>
      <c r="B43" t="s">
        <v>50</v>
      </c>
      <c r="C43">
        <v>159</v>
      </c>
      <c r="D43">
        <v>95030020</v>
      </c>
      <c r="E43">
        <v>0.05</v>
      </c>
      <c r="F43" t="s">
        <v>50</v>
      </c>
      <c r="G43">
        <v>8908006537822</v>
      </c>
    </row>
    <row r="44" spans="1:8" x14ac:dyDescent="0.3">
      <c r="A44">
        <v>43</v>
      </c>
      <c r="B44" t="s">
        <v>51</v>
      </c>
      <c r="C44">
        <v>629</v>
      </c>
      <c r="D44">
        <v>95030020</v>
      </c>
      <c r="E44">
        <v>0.05</v>
      </c>
      <c r="F44" t="s">
        <v>51</v>
      </c>
      <c r="G44">
        <v>8908006537853</v>
      </c>
    </row>
    <row r="45" spans="1:8" x14ac:dyDescent="0.3">
      <c r="A45">
        <v>44</v>
      </c>
      <c r="B45" t="s">
        <v>52</v>
      </c>
      <c r="C45">
        <v>159</v>
      </c>
      <c r="D45">
        <v>95030020</v>
      </c>
      <c r="E45">
        <v>0.05</v>
      </c>
      <c r="F45" t="s">
        <v>52</v>
      </c>
      <c r="G45">
        <v>8908006537860</v>
      </c>
    </row>
    <row r="46" spans="1:8" x14ac:dyDescent="0.3">
      <c r="A46">
        <v>45</v>
      </c>
      <c r="B46" t="s">
        <v>53</v>
      </c>
      <c r="C46">
        <v>159</v>
      </c>
      <c r="D46">
        <v>95030020</v>
      </c>
      <c r="E46">
        <v>0.05</v>
      </c>
      <c r="F46" t="s">
        <v>53</v>
      </c>
      <c r="G46">
        <v>8908006537877</v>
      </c>
    </row>
    <row r="47" spans="1:8" x14ac:dyDescent="0.3">
      <c r="A47">
        <v>46</v>
      </c>
      <c r="B47" t="s">
        <v>54</v>
      </c>
      <c r="C47">
        <v>159</v>
      </c>
      <c r="D47">
        <v>95030020</v>
      </c>
      <c r="E47">
        <v>0.05</v>
      </c>
      <c r="F47" t="s">
        <v>54</v>
      </c>
      <c r="G47">
        <v>8908006537884</v>
      </c>
    </row>
    <row r="48" spans="1:8" x14ac:dyDescent="0.3">
      <c r="A48">
        <v>47</v>
      </c>
      <c r="B48" t="s">
        <v>55</v>
      </c>
      <c r="C48">
        <v>529</v>
      </c>
      <c r="D48">
        <v>95030020</v>
      </c>
      <c r="E48">
        <v>0.05</v>
      </c>
      <c r="F48" t="s">
        <v>55</v>
      </c>
      <c r="G48">
        <v>8908006537907</v>
      </c>
      <c r="H48">
        <v>8606931</v>
      </c>
    </row>
    <row r="49" spans="1:9" x14ac:dyDescent="0.3">
      <c r="A49">
        <v>48</v>
      </c>
      <c r="B49" t="s">
        <v>56</v>
      </c>
      <c r="C49">
        <v>869</v>
      </c>
      <c r="D49">
        <v>95030020</v>
      </c>
      <c r="E49">
        <v>0.05</v>
      </c>
      <c r="F49" t="s">
        <v>56</v>
      </c>
      <c r="G49">
        <v>8908006537914</v>
      </c>
    </row>
    <row r="50" spans="1:9" x14ac:dyDescent="0.3">
      <c r="A50">
        <v>49</v>
      </c>
      <c r="B50" t="s">
        <v>57</v>
      </c>
      <c r="C50">
        <v>1059</v>
      </c>
      <c r="D50">
        <v>95030020</v>
      </c>
      <c r="E50">
        <v>0.05</v>
      </c>
      <c r="F50" t="s">
        <v>57</v>
      </c>
      <c r="G50">
        <v>8908006537921</v>
      </c>
    </row>
    <row r="51" spans="1:9" x14ac:dyDescent="0.3">
      <c r="A51">
        <v>50</v>
      </c>
      <c r="B51" t="s">
        <v>58</v>
      </c>
      <c r="C51">
        <v>379</v>
      </c>
      <c r="D51">
        <v>95030020</v>
      </c>
      <c r="E51">
        <v>0.05</v>
      </c>
      <c r="F51" t="s">
        <v>58</v>
      </c>
      <c r="G51">
        <v>8908006537983</v>
      </c>
    </row>
    <row r="52" spans="1:9" x14ac:dyDescent="0.3">
      <c r="A52">
        <v>51</v>
      </c>
      <c r="B52" t="s">
        <v>59</v>
      </c>
      <c r="C52">
        <v>379</v>
      </c>
      <c r="D52">
        <v>95030020</v>
      </c>
      <c r="E52">
        <v>0.05</v>
      </c>
      <c r="F52" t="s">
        <v>59</v>
      </c>
      <c r="G52">
        <v>8908006537990</v>
      </c>
    </row>
    <row r="53" spans="1:9" x14ac:dyDescent="0.3">
      <c r="A53">
        <v>52</v>
      </c>
      <c r="B53" t="s">
        <v>60</v>
      </c>
      <c r="C53">
        <v>549</v>
      </c>
      <c r="D53">
        <v>95030020</v>
      </c>
      <c r="E53">
        <v>0.05</v>
      </c>
      <c r="F53" t="s">
        <v>61</v>
      </c>
      <c r="G53">
        <v>8908006537297</v>
      </c>
      <c r="H53">
        <v>8606935</v>
      </c>
      <c r="I53">
        <v>91537</v>
      </c>
    </row>
    <row r="54" spans="1:9" x14ac:dyDescent="0.3">
      <c r="A54">
        <v>53</v>
      </c>
      <c r="B54" t="s">
        <v>62</v>
      </c>
      <c r="C54">
        <v>379</v>
      </c>
      <c r="D54">
        <v>95030020</v>
      </c>
      <c r="E54">
        <v>0.05</v>
      </c>
      <c r="F54" t="s">
        <v>62</v>
      </c>
      <c r="G54">
        <v>8908006537389</v>
      </c>
    </row>
    <row r="55" spans="1:9" x14ac:dyDescent="0.3">
      <c r="A55">
        <v>54</v>
      </c>
      <c r="B55" t="s">
        <v>63</v>
      </c>
      <c r="C55">
        <v>629</v>
      </c>
      <c r="D55">
        <v>95030020</v>
      </c>
      <c r="E55">
        <v>0.05</v>
      </c>
      <c r="F55" t="s">
        <v>63</v>
      </c>
      <c r="G55">
        <v>8908006537549</v>
      </c>
    </row>
    <row r="56" spans="1:9" x14ac:dyDescent="0.3">
      <c r="A56">
        <v>55</v>
      </c>
      <c r="B56" t="s">
        <v>64</v>
      </c>
      <c r="C56">
        <v>1159</v>
      </c>
      <c r="D56">
        <v>95030020</v>
      </c>
      <c r="E56">
        <v>0.05</v>
      </c>
      <c r="F56" t="s">
        <v>64</v>
      </c>
      <c r="G56">
        <v>8908006537372</v>
      </c>
    </row>
    <row r="57" spans="1:9" x14ac:dyDescent="0.3">
      <c r="A57">
        <v>56</v>
      </c>
      <c r="B57" t="s">
        <v>65</v>
      </c>
      <c r="C57">
        <v>1259</v>
      </c>
      <c r="D57">
        <v>95030020</v>
      </c>
      <c r="E57">
        <v>0.05</v>
      </c>
      <c r="F57" t="s">
        <v>65</v>
      </c>
      <c r="G57">
        <v>8908006537969</v>
      </c>
    </row>
    <row r="58" spans="1:9" x14ac:dyDescent="0.3">
      <c r="A58">
        <v>57</v>
      </c>
      <c r="B58" t="s">
        <v>66</v>
      </c>
      <c r="C58">
        <v>1159</v>
      </c>
      <c r="D58">
        <v>95030020</v>
      </c>
      <c r="E58">
        <v>0.05</v>
      </c>
      <c r="F58" t="s">
        <v>66</v>
      </c>
      <c r="G58">
        <v>8908006537976</v>
      </c>
    </row>
    <row r="59" spans="1:9" x14ac:dyDescent="0.3">
      <c r="A59">
        <v>58</v>
      </c>
      <c r="B59" t="s">
        <v>67</v>
      </c>
      <c r="C59">
        <v>1159</v>
      </c>
      <c r="D59">
        <v>95030020</v>
      </c>
      <c r="E59">
        <v>0.05</v>
      </c>
      <c r="F59" t="s">
        <v>67</v>
      </c>
      <c r="G59">
        <v>8908011797020</v>
      </c>
    </row>
    <row r="60" spans="1:9" x14ac:dyDescent="0.3">
      <c r="A60">
        <v>59</v>
      </c>
      <c r="B60" t="s">
        <v>68</v>
      </c>
      <c r="C60">
        <v>1159</v>
      </c>
      <c r="D60">
        <v>95030020</v>
      </c>
      <c r="E60">
        <v>0.05</v>
      </c>
      <c r="F60" t="s">
        <v>68</v>
      </c>
      <c r="G60">
        <v>8908011797037</v>
      </c>
    </row>
    <row r="61" spans="1:9" x14ac:dyDescent="0.3">
      <c r="A61">
        <v>60</v>
      </c>
      <c r="B61" t="s">
        <v>69</v>
      </c>
      <c r="C61">
        <v>629</v>
      </c>
      <c r="D61">
        <v>95030020</v>
      </c>
      <c r="E61">
        <v>0.05</v>
      </c>
      <c r="F61" t="s">
        <v>69</v>
      </c>
      <c r="G61">
        <v>8908011797051</v>
      </c>
    </row>
    <row r="62" spans="1:9" x14ac:dyDescent="0.3">
      <c r="A62">
        <v>61</v>
      </c>
      <c r="B62" t="s">
        <v>70</v>
      </c>
      <c r="C62">
        <v>869</v>
      </c>
      <c r="D62">
        <v>95030020</v>
      </c>
      <c r="E62">
        <v>0.05</v>
      </c>
      <c r="F62" t="s">
        <v>70</v>
      </c>
      <c r="G62">
        <v>8908011797075</v>
      </c>
    </row>
    <row r="63" spans="1:9" x14ac:dyDescent="0.3">
      <c r="A63">
        <v>62</v>
      </c>
      <c r="B63" t="s">
        <v>71</v>
      </c>
      <c r="C63">
        <v>1259</v>
      </c>
      <c r="D63">
        <v>95030020</v>
      </c>
      <c r="E63">
        <v>0.05</v>
      </c>
      <c r="F63" t="s">
        <v>71</v>
      </c>
      <c r="G63">
        <v>8908011797068</v>
      </c>
    </row>
    <row r="64" spans="1:9" x14ac:dyDescent="0.3">
      <c r="A64">
        <v>63</v>
      </c>
      <c r="B64" t="s">
        <v>72</v>
      </c>
      <c r="C64">
        <v>1999</v>
      </c>
      <c r="D64">
        <v>95030010</v>
      </c>
      <c r="E64">
        <v>0.18</v>
      </c>
      <c r="F64" t="s">
        <v>72</v>
      </c>
      <c r="G64">
        <v>8908011797136</v>
      </c>
    </row>
    <row r="65" spans="1:9" x14ac:dyDescent="0.3">
      <c r="A65">
        <v>64</v>
      </c>
      <c r="B65" t="s">
        <v>73</v>
      </c>
      <c r="C65">
        <v>1059</v>
      </c>
      <c r="D65">
        <v>95030020</v>
      </c>
      <c r="E65">
        <v>0.05</v>
      </c>
      <c r="F65" t="s">
        <v>73</v>
      </c>
      <c r="G65">
        <v>8908011797082</v>
      </c>
    </row>
    <row r="66" spans="1:9" x14ac:dyDescent="0.3">
      <c r="A66">
        <v>65</v>
      </c>
      <c r="B66" t="s">
        <v>74</v>
      </c>
      <c r="C66">
        <v>1249</v>
      </c>
      <c r="D66">
        <v>95030020</v>
      </c>
      <c r="E66">
        <v>0.05</v>
      </c>
      <c r="F66" t="s">
        <v>74</v>
      </c>
      <c r="G66">
        <v>8908011797099</v>
      </c>
      <c r="H66">
        <v>8606950</v>
      </c>
      <c r="I66">
        <v>51344</v>
      </c>
    </row>
    <row r="67" spans="1:9" x14ac:dyDescent="0.3">
      <c r="A67">
        <v>66</v>
      </c>
      <c r="B67" t="s">
        <v>75</v>
      </c>
      <c r="C67">
        <v>1259</v>
      </c>
      <c r="D67">
        <v>95030010</v>
      </c>
      <c r="E67">
        <v>0.18</v>
      </c>
      <c r="F67" t="s">
        <v>75</v>
      </c>
      <c r="G67">
        <v>8908011797105</v>
      </c>
      <c r="H67">
        <v>8606952</v>
      </c>
      <c r="I67">
        <v>56867</v>
      </c>
    </row>
    <row r="68" spans="1:9" x14ac:dyDescent="0.3">
      <c r="A68">
        <v>67</v>
      </c>
      <c r="B68" t="s">
        <v>76</v>
      </c>
      <c r="C68">
        <v>979</v>
      </c>
      <c r="D68">
        <v>95030020</v>
      </c>
      <c r="E68">
        <v>0.05</v>
      </c>
      <c r="F68" t="s">
        <v>77</v>
      </c>
      <c r="G68">
        <v>8908011797143</v>
      </c>
      <c r="H68">
        <v>8947269</v>
      </c>
      <c r="I68">
        <v>73783</v>
      </c>
    </row>
    <row r="69" spans="1:9" x14ac:dyDescent="0.3">
      <c r="A69">
        <v>68</v>
      </c>
      <c r="B69" t="s">
        <v>78</v>
      </c>
      <c r="C69">
        <v>1549</v>
      </c>
      <c r="D69">
        <v>95030020</v>
      </c>
      <c r="E69">
        <v>0.05</v>
      </c>
      <c r="F69" t="s">
        <v>78</v>
      </c>
      <c r="G69">
        <v>8908011797150</v>
      </c>
      <c r="H69">
        <v>8947250</v>
      </c>
    </row>
    <row r="70" spans="1:9" x14ac:dyDescent="0.3">
      <c r="A70">
        <v>69</v>
      </c>
      <c r="B70" t="s">
        <v>79</v>
      </c>
      <c r="C70">
        <v>3879</v>
      </c>
      <c r="D70">
        <v>95030020</v>
      </c>
      <c r="E70">
        <v>0.05</v>
      </c>
      <c r="F70" t="s">
        <v>79</v>
      </c>
      <c r="G70">
        <v>8908011797129</v>
      </c>
    </row>
    <row r="71" spans="1:9" x14ac:dyDescent="0.3">
      <c r="A71">
        <v>70</v>
      </c>
      <c r="B71" t="s">
        <v>80</v>
      </c>
      <c r="C71">
        <v>1599</v>
      </c>
      <c r="D71">
        <v>95030020</v>
      </c>
      <c r="E71">
        <v>0.05</v>
      </c>
      <c r="F71" t="s">
        <v>80</v>
      </c>
      <c r="G71">
        <v>8908011797204</v>
      </c>
      <c r="H71">
        <v>8947251</v>
      </c>
      <c r="I71">
        <v>93878</v>
      </c>
    </row>
    <row r="72" spans="1:9" x14ac:dyDescent="0.3">
      <c r="A72">
        <v>71</v>
      </c>
      <c r="B72" t="s">
        <v>81</v>
      </c>
      <c r="C72">
        <v>849</v>
      </c>
      <c r="D72">
        <v>95030020</v>
      </c>
      <c r="E72">
        <v>0.05</v>
      </c>
      <c r="F72" t="s">
        <v>81</v>
      </c>
      <c r="G72">
        <v>8908011797211</v>
      </c>
      <c r="H72">
        <v>8947249</v>
      </c>
      <c r="I72">
        <v>97450</v>
      </c>
    </row>
    <row r="73" spans="1:9" x14ac:dyDescent="0.3">
      <c r="A73">
        <v>72</v>
      </c>
      <c r="B73" t="s">
        <v>82</v>
      </c>
      <c r="C73">
        <v>669</v>
      </c>
      <c r="D73">
        <v>95030020</v>
      </c>
      <c r="E73">
        <v>0.05</v>
      </c>
      <c r="F73" t="s">
        <v>82</v>
      </c>
      <c r="G73">
        <v>8908011797167</v>
      </c>
    </row>
    <row r="74" spans="1:9" x14ac:dyDescent="0.3">
      <c r="A74">
        <v>73</v>
      </c>
      <c r="B74" t="s">
        <v>83</v>
      </c>
      <c r="C74">
        <v>669</v>
      </c>
      <c r="D74">
        <v>95030020</v>
      </c>
      <c r="E74">
        <v>0.05</v>
      </c>
      <c r="F74" t="s">
        <v>83</v>
      </c>
      <c r="G74">
        <v>8908011797174</v>
      </c>
    </row>
    <row r="75" spans="1:9" x14ac:dyDescent="0.3">
      <c r="A75">
        <v>74</v>
      </c>
      <c r="B75" t="s">
        <v>84</v>
      </c>
      <c r="C75">
        <v>669</v>
      </c>
      <c r="D75">
        <v>95030020</v>
      </c>
      <c r="E75">
        <v>0.05</v>
      </c>
      <c r="F75" t="s">
        <v>84</v>
      </c>
      <c r="G75">
        <v>8908011797181</v>
      </c>
    </row>
    <row r="76" spans="1:9" x14ac:dyDescent="0.3">
      <c r="A76">
        <v>75</v>
      </c>
      <c r="B76" t="s">
        <v>85</v>
      </c>
      <c r="C76">
        <v>669</v>
      </c>
      <c r="D76">
        <v>95030020</v>
      </c>
      <c r="E76">
        <v>0.05</v>
      </c>
      <c r="F76" t="s">
        <v>85</v>
      </c>
      <c r="G76">
        <v>8908011797198</v>
      </c>
    </row>
    <row r="77" spans="1:9" x14ac:dyDescent="0.3">
      <c r="A77">
        <v>76</v>
      </c>
      <c r="B77" t="s">
        <v>86</v>
      </c>
      <c r="C77">
        <v>1099</v>
      </c>
      <c r="D77">
        <v>95030020</v>
      </c>
      <c r="E77">
        <v>0.05</v>
      </c>
      <c r="F77" t="s">
        <v>86</v>
      </c>
      <c r="G77">
        <v>8908011797228</v>
      </c>
      <c r="H77">
        <v>13353538</v>
      </c>
      <c r="I77">
        <v>75870</v>
      </c>
    </row>
    <row r="78" spans="1:9" x14ac:dyDescent="0.3">
      <c r="A78">
        <v>77</v>
      </c>
      <c r="B78" t="s">
        <v>87</v>
      </c>
      <c r="C78">
        <v>769</v>
      </c>
      <c r="D78">
        <v>95030020</v>
      </c>
      <c r="E78">
        <v>0.05</v>
      </c>
      <c r="F78" t="s">
        <v>87</v>
      </c>
      <c r="G78">
        <v>8908011797242</v>
      </c>
    </row>
    <row r="79" spans="1:9" x14ac:dyDescent="0.3">
      <c r="A79">
        <v>78</v>
      </c>
      <c r="B79" t="s">
        <v>88</v>
      </c>
      <c r="C79">
        <v>819</v>
      </c>
      <c r="D79">
        <v>95030020</v>
      </c>
      <c r="E79">
        <v>0.05</v>
      </c>
      <c r="F79" t="s">
        <v>88</v>
      </c>
      <c r="G79">
        <v>8908011797273</v>
      </c>
    </row>
    <row r="80" spans="1:9" x14ac:dyDescent="0.3">
      <c r="A80">
        <v>79</v>
      </c>
      <c r="B80" t="s">
        <v>89</v>
      </c>
      <c r="C80">
        <v>1299</v>
      </c>
      <c r="D80">
        <v>95030020</v>
      </c>
      <c r="E80">
        <v>0.05</v>
      </c>
      <c r="F80" t="s">
        <v>89</v>
      </c>
      <c r="G80">
        <v>8908011797297</v>
      </c>
      <c r="H80">
        <v>10127435</v>
      </c>
      <c r="I80">
        <v>85666</v>
      </c>
    </row>
    <row r="81" spans="1:9" x14ac:dyDescent="0.3">
      <c r="A81">
        <v>80</v>
      </c>
      <c r="B81" t="s">
        <v>90</v>
      </c>
      <c r="C81">
        <v>919</v>
      </c>
      <c r="D81">
        <v>95030020</v>
      </c>
      <c r="E81">
        <v>0.05</v>
      </c>
      <c r="F81" t="s">
        <v>90</v>
      </c>
      <c r="G81">
        <v>8908011797280</v>
      </c>
    </row>
    <row r="82" spans="1:9" x14ac:dyDescent="0.3">
      <c r="A82">
        <v>81</v>
      </c>
      <c r="B82" t="s">
        <v>91</v>
      </c>
      <c r="C82">
        <v>1159</v>
      </c>
      <c r="D82">
        <v>95030020</v>
      </c>
      <c r="E82">
        <v>0.05</v>
      </c>
      <c r="F82" t="s">
        <v>91</v>
      </c>
      <c r="G82">
        <v>8908011797327</v>
      </c>
      <c r="H82">
        <v>13353535</v>
      </c>
      <c r="I82">
        <v>65810</v>
      </c>
    </row>
    <row r="83" spans="1:9" x14ac:dyDescent="0.3">
      <c r="A83">
        <v>82</v>
      </c>
      <c r="B83" t="s">
        <v>92</v>
      </c>
      <c r="C83">
        <v>869</v>
      </c>
      <c r="D83">
        <v>95030020</v>
      </c>
      <c r="E83">
        <v>0.05</v>
      </c>
      <c r="F83" t="s">
        <v>92</v>
      </c>
      <c r="G83">
        <v>8908011797235</v>
      </c>
    </row>
    <row r="84" spans="1:9" x14ac:dyDescent="0.3">
      <c r="A84">
        <v>83</v>
      </c>
      <c r="B84" t="s">
        <v>93</v>
      </c>
      <c r="C84">
        <v>819</v>
      </c>
      <c r="D84">
        <v>95030020</v>
      </c>
      <c r="E84">
        <v>0.05</v>
      </c>
      <c r="F84" t="s">
        <v>93</v>
      </c>
      <c r="G84">
        <v>8908011797266</v>
      </c>
    </row>
    <row r="85" spans="1:9" x14ac:dyDescent="0.3">
      <c r="A85">
        <v>84</v>
      </c>
      <c r="B85" t="s">
        <v>94</v>
      </c>
      <c r="C85">
        <v>868</v>
      </c>
      <c r="D85">
        <v>95030020</v>
      </c>
      <c r="E85">
        <v>0.05</v>
      </c>
      <c r="F85" t="s">
        <v>94</v>
      </c>
      <c r="G85">
        <v>8908011797310</v>
      </c>
    </row>
    <row r="86" spans="1:9" x14ac:dyDescent="0.3">
      <c r="A86">
        <v>85</v>
      </c>
      <c r="B86" t="s">
        <v>95</v>
      </c>
      <c r="C86">
        <v>869</v>
      </c>
      <c r="D86">
        <v>95030020</v>
      </c>
      <c r="E86">
        <v>0.05</v>
      </c>
      <c r="F86" t="s">
        <v>95</v>
      </c>
      <c r="G86">
        <v>8908011797334</v>
      </c>
    </row>
    <row r="87" spans="1:9" x14ac:dyDescent="0.3">
      <c r="A87">
        <v>86</v>
      </c>
      <c r="B87" t="s">
        <v>96</v>
      </c>
      <c r="C87">
        <v>1059</v>
      </c>
      <c r="D87">
        <v>95030020</v>
      </c>
      <c r="E87">
        <v>0.05</v>
      </c>
      <c r="F87" t="s">
        <v>96</v>
      </c>
      <c r="G87">
        <v>8908011797426</v>
      </c>
    </row>
    <row r="88" spans="1:9" x14ac:dyDescent="0.3">
      <c r="A88">
        <v>87</v>
      </c>
      <c r="B88" t="s">
        <v>97</v>
      </c>
      <c r="C88">
        <v>869</v>
      </c>
      <c r="D88">
        <v>95030020</v>
      </c>
      <c r="E88">
        <v>0.05</v>
      </c>
      <c r="F88" t="s">
        <v>97</v>
      </c>
      <c r="G88">
        <v>8908006537563</v>
      </c>
      <c r="H88">
        <v>10712380</v>
      </c>
      <c r="I88">
        <v>74823</v>
      </c>
    </row>
    <row r="89" spans="1:9" x14ac:dyDescent="0.3">
      <c r="A89">
        <v>88</v>
      </c>
      <c r="B89" t="s">
        <v>98</v>
      </c>
      <c r="C89">
        <v>1099</v>
      </c>
      <c r="D89">
        <v>95030020</v>
      </c>
      <c r="E89">
        <v>0.05</v>
      </c>
      <c r="F89" t="s">
        <v>98</v>
      </c>
      <c r="G89">
        <v>8908011797303</v>
      </c>
      <c r="H89">
        <v>10127433</v>
      </c>
      <c r="I89">
        <v>79024</v>
      </c>
    </row>
    <row r="90" spans="1:9" x14ac:dyDescent="0.3">
      <c r="A90">
        <v>89</v>
      </c>
      <c r="B90" t="s">
        <v>99</v>
      </c>
      <c r="C90">
        <v>1059</v>
      </c>
      <c r="D90">
        <v>95030020</v>
      </c>
      <c r="E90">
        <v>0.05</v>
      </c>
      <c r="F90" t="s">
        <v>99</v>
      </c>
      <c r="G90">
        <v>8908006537587</v>
      </c>
    </row>
    <row r="91" spans="1:9" x14ac:dyDescent="0.3">
      <c r="A91">
        <v>90</v>
      </c>
      <c r="B91" t="s">
        <v>100</v>
      </c>
      <c r="C91">
        <v>869</v>
      </c>
      <c r="D91">
        <v>95030020</v>
      </c>
      <c r="E91">
        <v>0.05</v>
      </c>
      <c r="F91" t="s">
        <v>100</v>
      </c>
      <c r="G91">
        <v>8908006537594</v>
      </c>
    </row>
    <row r="92" spans="1:9" x14ac:dyDescent="0.3">
      <c r="A92">
        <v>91</v>
      </c>
      <c r="B92" t="s">
        <v>101</v>
      </c>
      <c r="C92">
        <v>869</v>
      </c>
      <c r="D92">
        <v>95030020</v>
      </c>
      <c r="E92">
        <v>0.05</v>
      </c>
      <c r="F92" t="s">
        <v>101</v>
      </c>
      <c r="G92">
        <v>8908006537709</v>
      </c>
    </row>
    <row r="93" spans="1:9" x14ac:dyDescent="0.3">
      <c r="A93">
        <v>92</v>
      </c>
      <c r="B93" t="s">
        <v>102</v>
      </c>
      <c r="C93">
        <v>819</v>
      </c>
      <c r="D93">
        <v>95030020</v>
      </c>
      <c r="E93">
        <v>0.05</v>
      </c>
      <c r="F93" t="s">
        <v>102</v>
      </c>
      <c r="G93">
        <v>8908011797471</v>
      </c>
    </row>
    <row r="94" spans="1:9" x14ac:dyDescent="0.3">
      <c r="A94">
        <v>93</v>
      </c>
      <c r="B94" t="s">
        <v>103</v>
      </c>
      <c r="C94">
        <v>1099</v>
      </c>
      <c r="D94">
        <v>95030010</v>
      </c>
      <c r="E94">
        <v>0.18</v>
      </c>
      <c r="F94" t="s">
        <v>103</v>
      </c>
      <c r="G94">
        <v>8908011797488</v>
      </c>
      <c r="H94">
        <v>13353534</v>
      </c>
      <c r="I94">
        <v>70537</v>
      </c>
    </row>
    <row r="95" spans="1:9" x14ac:dyDescent="0.3">
      <c r="A95">
        <v>94</v>
      </c>
      <c r="B95" t="s">
        <v>104</v>
      </c>
      <c r="C95">
        <v>1059</v>
      </c>
      <c r="D95">
        <v>95030020</v>
      </c>
      <c r="E95">
        <v>0.05</v>
      </c>
      <c r="F95" t="s">
        <v>105</v>
      </c>
      <c r="G95">
        <v>8908011797464</v>
      </c>
      <c r="I95">
        <v>481367</v>
      </c>
    </row>
    <row r="96" spans="1:9" x14ac:dyDescent="0.3">
      <c r="A96">
        <v>95</v>
      </c>
      <c r="B96" t="s">
        <v>106</v>
      </c>
      <c r="C96">
        <v>1399</v>
      </c>
      <c r="D96">
        <v>95030010</v>
      </c>
      <c r="E96">
        <v>0.18</v>
      </c>
      <c r="F96" t="s">
        <v>106</v>
      </c>
      <c r="G96">
        <v>8908011797518</v>
      </c>
      <c r="H96">
        <v>13353529</v>
      </c>
      <c r="I96">
        <v>86497</v>
      </c>
    </row>
    <row r="97" spans="1:9" x14ac:dyDescent="0.3">
      <c r="A97">
        <v>96</v>
      </c>
      <c r="B97" t="s">
        <v>107</v>
      </c>
      <c r="C97">
        <v>819</v>
      </c>
      <c r="D97">
        <v>95030020</v>
      </c>
      <c r="E97">
        <v>0.05</v>
      </c>
      <c r="F97" t="s">
        <v>107</v>
      </c>
      <c r="G97">
        <v>8908011797570</v>
      </c>
    </row>
    <row r="98" spans="1:9" x14ac:dyDescent="0.3">
      <c r="A98">
        <v>98</v>
      </c>
      <c r="B98" t="s">
        <v>108</v>
      </c>
      <c r="C98">
        <v>1159</v>
      </c>
      <c r="D98">
        <v>95030020</v>
      </c>
      <c r="E98">
        <v>0.05</v>
      </c>
      <c r="F98" t="s">
        <v>109</v>
      </c>
      <c r="G98">
        <v>8908011797792</v>
      </c>
    </row>
    <row r="99" spans="1:9" x14ac:dyDescent="0.3">
      <c r="A99">
        <v>99</v>
      </c>
      <c r="B99" t="s">
        <v>110</v>
      </c>
      <c r="C99">
        <v>969</v>
      </c>
      <c r="D99">
        <v>95030020</v>
      </c>
      <c r="E99">
        <v>0.05</v>
      </c>
      <c r="F99" t="s">
        <v>110</v>
      </c>
      <c r="G99">
        <v>8908011797549</v>
      </c>
      <c r="H99">
        <v>13353532</v>
      </c>
      <c r="I99">
        <v>96340</v>
      </c>
    </row>
    <row r="100" spans="1:9" x14ac:dyDescent="0.3">
      <c r="A100">
        <v>100</v>
      </c>
      <c r="B100" t="s">
        <v>111</v>
      </c>
      <c r="C100">
        <v>869</v>
      </c>
      <c r="D100">
        <v>95030020</v>
      </c>
      <c r="E100">
        <v>0.05</v>
      </c>
      <c r="F100" t="s">
        <v>111</v>
      </c>
      <c r="G100">
        <v>8908011797532</v>
      </c>
    </row>
    <row r="101" spans="1:9" x14ac:dyDescent="0.3">
      <c r="A101">
        <v>101</v>
      </c>
      <c r="B101" t="s">
        <v>112</v>
      </c>
      <c r="C101">
        <v>969</v>
      </c>
      <c r="D101">
        <v>95030020</v>
      </c>
      <c r="E101">
        <v>0.05</v>
      </c>
      <c r="F101" t="s">
        <v>112</v>
      </c>
      <c r="G101">
        <v>8908011797563</v>
      </c>
    </row>
    <row r="102" spans="1:9" x14ac:dyDescent="0.3">
      <c r="A102">
        <v>102</v>
      </c>
      <c r="B102" t="s">
        <v>113</v>
      </c>
      <c r="C102">
        <v>1739</v>
      </c>
      <c r="D102">
        <v>95030020</v>
      </c>
      <c r="E102">
        <v>0.05</v>
      </c>
      <c r="F102" t="s">
        <v>113</v>
      </c>
      <c r="G102">
        <v>8908011797556</v>
      </c>
    </row>
    <row r="103" spans="1:9" x14ac:dyDescent="0.3">
      <c r="A103">
        <v>103</v>
      </c>
      <c r="B103" t="s">
        <v>114</v>
      </c>
      <c r="C103">
        <v>869</v>
      </c>
      <c r="D103">
        <v>95030020</v>
      </c>
      <c r="E103">
        <v>0.05</v>
      </c>
      <c r="F103" t="s">
        <v>114</v>
      </c>
      <c r="G103">
        <v>8908011797587</v>
      </c>
    </row>
    <row r="104" spans="1:9" x14ac:dyDescent="0.3">
      <c r="A104">
        <v>104</v>
      </c>
      <c r="B104" t="s">
        <v>115</v>
      </c>
      <c r="C104">
        <v>1099</v>
      </c>
      <c r="D104">
        <v>95030010</v>
      </c>
      <c r="E104">
        <v>0.18</v>
      </c>
      <c r="F104" t="s">
        <v>115</v>
      </c>
      <c r="G104">
        <v>8908011797600</v>
      </c>
      <c r="H104">
        <v>13694135</v>
      </c>
      <c r="I104">
        <v>73466</v>
      </c>
    </row>
    <row r="105" spans="1:9" x14ac:dyDescent="0.3">
      <c r="A105">
        <v>105</v>
      </c>
      <c r="B105" t="s">
        <v>116</v>
      </c>
      <c r="C105">
        <v>1299</v>
      </c>
      <c r="D105">
        <v>95030020</v>
      </c>
      <c r="E105">
        <v>0.05</v>
      </c>
      <c r="F105" t="s">
        <v>116</v>
      </c>
      <c r="G105">
        <v>8908011797617</v>
      </c>
    </row>
    <row r="106" spans="1:9" x14ac:dyDescent="0.3">
      <c r="A106">
        <v>106</v>
      </c>
      <c r="B106" t="s">
        <v>117</v>
      </c>
      <c r="C106">
        <v>999</v>
      </c>
      <c r="D106">
        <v>95030020</v>
      </c>
      <c r="E106">
        <v>0.05</v>
      </c>
      <c r="F106" t="s">
        <v>117</v>
      </c>
      <c r="G106">
        <v>8908011797648</v>
      </c>
      <c r="I106">
        <v>458614</v>
      </c>
    </row>
    <row r="107" spans="1:9" x14ac:dyDescent="0.3">
      <c r="A107">
        <v>107</v>
      </c>
      <c r="B107" t="s">
        <v>118</v>
      </c>
      <c r="C107">
        <v>1099</v>
      </c>
      <c r="D107">
        <v>95030020</v>
      </c>
      <c r="E107">
        <v>0.05</v>
      </c>
      <c r="F107" t="s">
        <v>118</v>
      </c>
      <c r="G107">
        <v>8908011797655</v>
      </c>
      <c r="H107">
        <v>14626588</v>
      </c>
    </row>
    <row r="108" spans="1:9" x14ac:dyDescent="0.3">
      <c r="A108">
        <v>108</v>
      </c>
      <c r="B108" t="s">
        <v>119</v>
      </c>
      <c r="C108">
        <v>869</v>
      </c>
      <c r="D108">
        <v>95030020</v>
      </c>
      <c r="E108">
        <v>0.05</v>
      </c>
      <c r="F108" t="s">
        <v>119</v>
      </c>
      <c r="G108">
        <v>8908011797624</v>
      </c>
    </row>
    <row r="109" spans="1:9" x14ac:dyDescent="0.3">
      <c r="A109">
        <v>109</v>
      </c>
      <c r="B109" t="s">
        <v>120</v>
      </c>
      <c r="C109">
        <v>969</v>
      </c>
      <c r="D109">
        <v>95030020</v>
      </c>
      <c r="E109">
        <v>0.05</v>
      </c>
      <c r="F109" t="s">
        <v>120</v>
      </c>
      <c r="G109">
        <v>8908011797747</v>
      </c>
      <c r="H109">
        <v>17856011</v>
      </c>
    </row>
    <row r="110" spans="1:9" x14ac:dyDescent="0.3">
      <c r="A110">
        <v>110</v>
      </c>
      <c r="B110" t="s">
        <v>121</v>
      </c>
      <c r="C110">
        <v>819</v>
      </c>
      <c r="D110">
        <v>95030020</v>
      </c>
      <c r="E110">
        <v>0.05</v>
      </c>
      <c r="F110" t="s">
        <v>122</v>
      </c>
      <c r="G110">
        <v>8908011797679</v>
      </c>
      <c r="H110">
        <v>15433823</v>
      </c>
      <c r="I110">
        <v>480751</v>
      </c>
    </row>
    <row r="111" spans="1:9" x14ac:dyDescent="0.3">
      <c r="A111">
        <v>111</v>
      </c>
      <c r="B111" t="s">
        <v>123</v>
      </c>
      <c r="C111">
        <v>899</v>
      </c>
      <c r="D111">
        <v>95030020</v>
      </c>
      <c r="E111">
        <v>0.05</v>
      </c>
      <c r="F111" t="s">
        <v>123</v>
      </c>
      <c r="G111">
        <v>8908011797662</v>
      </c>
    </row>
    <row r="112" spans="1:9" x14ac:dyDescent="0.3">
      <c r="A112">
        <v>112</v>
      </c>
      <c r="B112" t="s">
        <v>124</v>
      </c>
      <c r="C112">
        <v>1699</v>
      </c>
      <c r="D112">
        <v>95030010</v>
      </c>
      <c r="E112">
        <v>0.18</v>
      </c>
      <c r="F112" t="s">
        <v>124</v>
      </c>
      <c r="G112">
        <v>8908011797860</v>
      </c>
      <c r="H112">
        <v>19825872</v>
      </c>
      <c r="I112">
        <v>158421</v>
      </c>
    </row>
    <row r="113" spans="1:9" x14ac:dyDescent="0.3">
      <c r="A113">
        <v>113</v>
      </c>
      <c r="B113" t="s">
        <v>125</v>
      </c>
      <c r="C113">
        <v>919</v>
      </c>
      <c r="D113">
        <v>95030020</v>
      </c>
      <c r="E113">
        <v>0.05</v>
      </c>
      <c r="F113" t="s">
        <v>125</v>
      </c>
      <c r="G113">
        <v>8908011797723</v>
      </c>
    </row>
    <row r="114" spans="1:9" x14ac:dyDescent="0.3">
      <c r="A114">
        <v>114</v>
      </c>
      <c r="B114" t="s">
        <v>126</v>
      </c>
      <c r="C114">
        <v>769</v>
      </c>
      <c r="D114">
        <v>95030020</v>
      </c>
      <c r="E114">
        <v>0.05</v>
      </c>
      <c r="F114" t="s">
        <v>126</v>
      </c>
      <c r="G114">
        <v>8908011797693</v>
      </c>
      <c r="H114">
        <v>17856008</v>
      </c>
      <c r="I114">
        <v>523050</v>
      </c>
    </row>
    <row r="115" spans="1:9" x14ac:dyDescent="0.3">
      <c r="A115">
        <v>115</v>
      </c>
      <c r="B115" t="s">
        <v>127</v>
      </c>
      <c r="C115">
        <v>629</v>
      </c>
      <c r="D115">
        <v>95030020</v>
      </c>
      <c r="E115">
        <v>0.05</v>
      </c>
      <c r="F115" t="s">
        <v>127</v>
      </c>
      <c r="G115">
        <v>8908011797709</v>
      </c>
    </row>
    <row r="116" spans="1:9" x14ac:dyDescent="0.3">
      <c r="A116">
        <v>116</v>
      </c>
      <c r="B116" t="s">
        <v>128</v>
      </c>
      <c r="C116">
        <v>999</v>
      </c>
      <c r="D116">
        <v>95030020</v>
      </c>
      <c r="E116">
        <v>0.05</v>
      </c>
      <c r="F116" t="s">
        <v>128</v>
      </c>
      <c r="G116">
        <v>8908011797754</v>
      </c>
    </row>
    <row r="117" spans="1:9" x14ac:dyDescent="0.3">
      <c r="A117">
        <v>117</v>
      </c>
      <c r="B117" t="s">
        <v>129</v>
      </c>
      <c r="C117">
        <v>60</v>
      </c>
      <c r="D117">
        <v>95030020</v>
      </c>
      <c r="E117">
        <v>0.05</v>
      </c>
      <c r="F117" t="s">
        <v>129</v>
      </c>
      <c r="G117">
        <v>8906187980031</v>
      </c>
    </row>
    <row r="118" spans="1:9" x14ac:dyDescent="0.3">
      <c r="A118">
        <v>118</v>
      </c>
      <c r="B118" t="s">
        <v>130</v>
      </c>
      <c r="C118">
        <v>669</v>
      </c>
      <c r="D118">
        <v>95030020</v>
      </c>
      <c r="E118">
        <v>0.05</v>
      </c>
      <c r="F118" t="s">
        <v>130</v>
      </c>
      <c r="G118">
        <v>8908011797815</v>
      </c>
    </row>
    <row r="119" spans="1:9" x14ac:dyDescent="0.3">
      <c r="A119">
        <v>119</v>
      </c>
      <c r="B119" t="s">
        <v>131</v>
      </c>
      <c r="C119">
        <v>869</v>
      </c>
      <c r="D119">
        <v>95030020</v>
      </c>
      <c r="E119">
        <v>0.05</v>
      </c>
      <c r="F119" t="s">
        <v>131</v>
      </c>
      <c r="G119">
        <v>8908011797822</v>
      </c>
      <c r="I119">
        <v>891201</v>
      </c>
    </row>
    <row r="120" spans="1:9" x14ac:dyDescent="0.3">
      <c r="A120">
        <v>120</v>
      </c>
      <c r="B120" t="s">
        <v>132</v>
      </c>
      <c r="C120">
        <v>769</v>
      </c>
      <c r="D120">
        <v>95030020</v>
      </c>
      <c r="E120">
        <v>0.05</v>
      </c>
      <c r="F120" t="s">
        <v>132</v>
      </c>
      <c r="G120">
        <v>8908011797846</v>
      </c>
      <c r="H120">
        <v>19825873</v>
      </c>
    </row>
    <row r="121" spans="1:9" x14ac:dyDescent="0.3">
      <c r="A121">
        <v>121</v>
      </c>
      <c r="B121" t="s">
        <v>133</v>
      </c>
      <c r="C121">
        <v>669</v>
      </c>
      <c r="D121">
        <v>95030020</v>
      </c>
      <c r="E121">
        <v>0.05</v>
      </c>
      <c r="F121" t="s">
        <v>133</v>
      </c>
      <c r="G121">
        <v>8908011797761</v>
      </c>
    </row>
    <row r="122" spans="1:9" x14ac:dyDescent="0.3">
      <c r="A122">
        <v>122</v>
      </c>
      <c r="B122" t="s">
        <v>134</v>
      </c>
      <c r="C122">
        <v>299</v>
      </c>
      <c r="D122">
        <v>95030020</v>
      </c>
      <c r="E122">
        <v>0.05</v>
      </c>
      <c r="F122" t="s">
        <v>134</v>
      </c>
      <c r="G122">
        <v>8908011797730</v>
      </c>
    </row>
    <row r="123" spans="1:9" x14ac:dyDescent="0.3">
      <c r="A123">
        <v>123</v>
      </c>
      <c r="B123" t="s">
        <v>135</v>
      </c>
      <c r="C123">
        <v>799</v>
      </c>
      <c r="D123">
        <v>95030020</v>
      </c>
      <c r="E123">
        <v>0.05</v>
      </c>
      <c r="F123" t="s">
        <v>135</v>
      </c>
      <c r="G123">
        <v>8908011797938</v>
      </c>
      <c r="I123">
        <v>645243</v>
      </c>
    </row>
    <row r="124" spans="1:9" x14ac:dyDescent="0.3">
      <c r="A124">
        <v>124</v>
      </c>
      <c r="B124" t="s">
        <v>136</v>
      </c>
      <c r="C124">
        <v>869</v>
      </c>
      <c r="D124">
        <v>95030020</v>
      </c>
      <c r="E124">
        <v>0.05</v>
      </c>
      <c r="F124" t="s">
        <v>136</v>
      </c>
      <c r="G124">
        <v>8908011797839</v>
      </c>
    </row>
    <row r="125" spans="1:9" x14ac:dyDescent="0.3">
      <c r="A125">
        <v>125</v>
      </c>
      <c r="B125" t="s">
        <v>137</v>
      </c>
      <c r="C125">
        <v>669</v>
      </c>
      <c r="D125">
        <v>95030020</v>
      </c>
      <c r="E125">
        <v>0.05</v>
      </c>
      <c r="F125" t="s">
        <v>137</v>
      </c>
      <c r="G125">
        <v>8908011797778</v>
      </c>
    </row>
    <row r="126" spans="1:9" x14ac:dyDescent="0.3">
      <c r="A126">
        <v>126</v>
      </c>
      <c r="B126" t="s">
        <v>138</v>
      </c>
      <c r="C126">
        <v>649</v>
      </c>
      <c r="D126">
        <v>95030020</v>
      </c>
      <c r="E126">
        <v>0.05</v>
      </c>
      <c r="F126" t="s">
        <v>138</v>
      </c>
      <c r="G126">
        <v>8908011797808</v>
      </c>
      <c r="H126">
        <v>17856015</v>
      </c>
      <c r="I126">
        <v>950782</v>
      </c>
    </row>
    <row r="127" spans="1:9" x14ac:dyDescent="0.3">
      <c r="A127">
        <v>127</v>
      </c>
      <c r="B127" t="s">
        <v>139</v>
      </c>
      <c r="C127">
        <v>769</v>
      </c>
      <c r="D127">
        <v>95030020</v>
      </c>
      <c r="E127">
        <v>0.05</v>
      </c>
      <c r="F127" t="s">
        <v>139</v>
      </c>
      <c r="G127">
        <v>8908011797853</v>
      </c>
      <c r="H127">
        <v>18481804</v>
      </c>
    </row>
    <row r="128" spans="1:9" x14ac:dyDescent="0.3">
      <c r="A128">
        <v>128</v>
      </c>
      <c r="B128" t="s">
        <v>140</v>
      </c>
      <c r="C128">
        <v>849</v>
      </c>
      <c r="D128">
        <v>95030020</v>
      </c>
      <c r="E128">
        <v>0.05</v>
      </c>
      <c r="F128" t="s">
        <v>140</v>
      </c>
      <c r="G128">
        <v>8908011797877</v>
      </c>
      <c r="H128">
        <v>19050876</v>
      </c>
      <c r="I128">
        <v>208840</v>
      </c>
    </row>
    <row r="129" spans="1:9" x14ac:dyDescent="0.3">
      <c r="A129">
        <v>129</v>
      </c>
      <c r="B129" t="s">
        <v>141</v>
      </c>
      <c r="C129">
        <v>1099</v>
      </c>
      <c r="D129">
        <v>95030020</v>
      </c>
      <c r="E129">
        <v>0.05</v>
      </c>
      <c r="F129" t="s">
        <v>141</v>
      </c>
      <c r="G129">
        <v>8908011797907</v>
      </c>
    </row>
    <row r="130" spans="1:9" x14ac:dyDescent="0.3">
      <c r="A130">
        <v>130</v>
      </c>
      <c r="B130" t="s">
        <v>142</v>
      </c>
      <c r="C130">
        <v>749</v>
      </c>
      <c r="D130">
        <v>95030020</v>
      </c>
      <c r="E130">
        <v>0.05</v>
      </c>
      <c r="F130" t="s">
        <v>142</v>
      </c>
      <c r="G130">
        <v>8908011797891</v>
      </c>
      <c r="H130">
        <v>18481805</v>
      </c>
    </row>
    <row r="131" spans="1:9" x14ac:dyDescent="0.3">
      <c r="A131">
        <v>131</v>
      </c>
      <c r="B131" t="s">
        <v>143</v>
      </c>
      <c r="C131">
        <v>579</v>
      </c>
      <c r="D131">
        <v>95030020</v>
      </c>
      <c r="E131">
        <v>0.05</v>
      </c>
      <c r="F131" t="s">
        <v>143</v>
      </c>
      <c r="G131">
        <v>8908011797884</v>
      </c>
      <c r="H131">
        <v>19825874</v>
      </c>
      <c r="I131">
        <v>235066</v>
      </c>
    </row>
    <row r="132" spans="1:9" x14ac:dyDescent="0.3">
      <c r="A132">
        <v>132</v>
      </c>
      <c r="B132" t="s">
        <v>144</v>
      </c>
      <c r="C132">
        <v>919</v>
      </c>
      <c r="D132">
        <v>95030020</v>
      </c>
      <c r="E132">
        <v>0.05</v>
      </c>
      <c r="F132" t="s">
        <v>145</v>
      </c>
      <c r="G132">
        <v>8906187980079</v>
      </c>
    </row>
    <row r="133" spans="1:9" x14ac:dyDescent="0.3">
      <c r="A133">
        <v>133</v>
      </c>
      <c r="B133" t="s">
        <v>146</v>
      </c>
      <c r="C133">
        <v>289</v>
      </c>
      <c r="D133">
        <v>95030020</v>
      </c>
      <c r="E133">
        <v>0.05</v>
      </c>
      <c r="F133" t="s">
        <v>146</v>
      </c>
      <c r="G133">
        <v>8908011797914</v>
      </c>
    </row>
    <row r="134" spans="1:9" x14ac:dyDescent="0.3">
      <c r="A134">
        <v>134</v>
      </c>
      <c r="B134" t="s">
        <v>147</v>
      </c>
      <c r="C134">
        <v>769</v>
      </c>
      <c r="D134">
        <v>95030020</v>
      </c>
      <c r="E134">
        <v>0.05</v>
      </c>
      <c r="F134" t="s">
        <v>147</v>
      </c>
      <c r="G134">
        <v>8908011797952</v>
      </c>
      <c r="H134">
        <v>19050877</v>
      </c>
    </row>
    <row r="135" spans="1:9" x14ac:dyDescent="0.3">
      <c r="A135">
        <v>135</v>
      </c>
      <c r="B135" t="s">
        <v>148</v>
      </c>
      <c r="C135">
        <v>749</v>
      </c>
      <c r="D135">
        <v>95030020</v>
      </c>
      <c r="E135">
        <v>0.05</v>
      </c>
      <c r="F135" t="s">
        <v>148</v>
      </c>
      <c r="G135">
        <v>8906187980000</v>
      </c>
      <c r="H135">
        <v>19287676</v>
      </c>
      <c r="I135">
        <v>560273</v>
      </c>
    </row>
    <row r="136" spans="1:9" x14ac:dyDescent="0.3">
      <c r="A136">
        <v>136</v>
      </c>
      <c r="B136" t="s">
        <v>149</v>
      </c>
      <c r="C136">
        <v>1299</v>
      </c>
      <c r="D136">
        <v>95030010</v>
      </c>
      <c r="E136">
        <v>0.18</v>
      </c>
      <c r="F136" t="s">
        <v>149</v>
      </c>
      <c r="G136">
        <v>8906187980109</v>
      </c>
      <c r="H136">
        <v>21239906</v>
      </c>
    </row>
    <row r="137" spans="1:9" x14ac:dyDescent="0.3">
      <c r="A137">
        <v>137</v>
      </c>
      <c r="B137" t="s">
        <v>150</v>
      </c>
      <c r="C137">
        <v>769</v>
      </c>
      <c r="D137">
        <v>95030020</v>
      </c>
      <c r="E137">
        <v>0.05</v>
      </c>
      <c r="F137" t="s">
        <v>150</v>
      </c>
      <c r="G137">
        <v>8908011797983</v>
      </c>
    </row>
    <row r="138" spans="1:9" x14ac:dyDescent="0.3">
      <c r="A138">
        <v>138</v>
      </c>
      <c r="B138" t="s">
        <v>151</v>
      </c>
      <c r="C138">
        <v>799</v>
      </c>
      <c r="D138">
        <v>95030020</v>
      </c>
      <c r="E138">
        <v>0.05</v>
      </c>
      <c r="F138" t="s">
        <v>151</v>
      </c>
      <c r="G138">
        <v>8908011797990</v>
      </c>
      <c r="H138">
        <v>19825877</v>
      </c>
    </row>
    <row r="139" spans="1:9" x14ac:dyDescent="0.3">
      <c r="A139">
        <v>139</v>
      </c>
      <c r="B139" t="s">
        <v>152</v>
      </c>
      <c r="C139">
        <v>599</v>
      </c>
      <c r="D139">
        <v>95030020</v>
      </c>
      <c r="E139">
        <v>0.05</v>
      </c>
      <c r="F139" t="s">
        <v>152</v>
      </c>
      <c r="G139">
        <v>8908011797969</v>
      </c>
      <c r="H139">
        <v>19825875</v>
      </c>
      <c r="I139">
        <v>864545</v>
      </c>
    </row>
    <row r="140" spans="1:9" x14ac:dyDescent="0.3">
      <c r="A140">
        <v>140</v>
      </c>
      <c r="B140" t="s">
        <v>153</v>
      </c>
      <c r="C140">
        <v>699</v>
      </c>
      <c r="D140">
        <v>95030020</v>
      </c>
      <c r="E140">
        <v>0.05</v>
      </c>
      <c r="F140" t="s">
        <v>153</v>
      </c>
      <c r="G140">
        <v>8906187980017</v>
      </c>
    </row>
    <row r="141" spans="1:9" x14ac:dyDescent="0.3">
      <c r="A141">
        <v>141</v>
      </c>
      <c r="B141" t="s">
        <v>154</v>
      </c>
      <c r="C141">
        <v>1099</v>
      </c>
      <c r="D141">
        <v>95030020</v>
      </c>
      <c r="E141">
        <v>0.05</v>
      </c>
      <c r="F141" t="s">
        <v>154</v>
      </c>
      <c r="G141">
        <v>8906187980147</v>
      </c>
      <c r="H141">
        <v>20586288</v>
      </c>
    </row>
    <row r="142" spans="1:9" x14ac:dyDescent="0.3">
      <c r="A142">
        <v>142</v>
      </c>
      <c r="B142" t="s">
        <v>155</v>
      </c>
      <c r="C142">
        <v>999</v>
      </c>
      <c r="D142">
        <v>95030010</v>
      </c>
      <c r="E142">
        <v>0.18</v>
      </c>
      <c r="F142" t="s">
        <v>155</v>
      </c>
      <c r="G142">
        <v>8906187980178</v>
      </c>
      <c r="H142">
        <v>20586289</v>
      </c>
    </row>
    <row r="143" spans="1:9" x14ac:dyDescent="0.3">
      <c r="A143">
        <v>143</v>
      </c>
      <c r="B143" t="s">
        <v>156</v>
      </c>
      <c r="C143">
        <v>1149</v>
      </c>
      <c r="D143">
        <v>95030020</v>
      </c>
      <c r="E143">
        <v>0.05</v>
      </c>
      <c r="F143" t="s">
        <v>156</v>
      </c>
      <c r="G143">
        <v>8906187980345</v>
      </c>
      <c r="H143">
        <v>22032971</v>
      </c>
      <c r="I143">
        <v>822097</v>
      </c>
    </row>
    <row r="144" spans="1:9" x14ac:dyDescent="0.3">
      <c r="A144">
        <v>144</v>
      </c>
      <c r="B144" t="s">
        <v>157</v>
      </c>
      <c r="C144">
        <v>869</v>
      </c>
      <c r="D144">
        <v>95030020</v>
      </c>
      <c r="E144">
        <v>0.05</v>
      </c>
      <c r="F144" t="s">
        <v>157</v>
      </c>
      <c r="G144">
        <v>8906187980116</v>
      </c>
      <c r="H144">
        <v>21239905</v>
      </c>
    </row>
    <row r="145" spans="1:8" x14ac:dyDescent="0.3">
      <c r="A145">
        <v>145</v>
      </c>
      <c r="B145" t="s">
        <v>158</v>
      </c>
      <c r="C145">
        <v>799</v>
      </c>
      <c r="D145">
        <v>95030020</v>
      </c>
      <c r="E145">
        <v>0.05</v>
      </c>
      <c r="F145" t="s">
        <v>158</v>
      </c>
      <c r="G145">
        <v>8906187980222</v>
      </c>
      <c r="H145">
        <v>21239909</v>
      </c>
    </row>
    <row r="146" spans="1:8" x14ac:dyDescent="0.3">
      <c r="A146">
        <v>146</v>
      </c>
      <c r="B146" t="s">
        <v>159</v>
      </c>
      <c r="C146">
        <v>749</v>
      </c>
      <c r="D146">
        <v>95030020</v>
      </c>
      <c r="E146">
        <v>0.05</v>
      </c>
      <c r="F146" t="s">
        <v>159</v>
      </c>
      <c r="G146">
        <v>8906187980314</v>
      </c>
      <c r="H146">
        <v>22032972</v>
      </c>
    </row>
    <row r="147" spans="1:8" x14ac:dyDescent="0.3">
      <c r="A147">
        <v>147</v>
      </c>
      <c r="B147" t="s">
        <v>160</v>
      </c>
      <c r="C147">
        <v>669</v>
      </c>
      <c r="D147">
        <v>95030020</v>
      </c>
      <c r="E147">
        <v>0.05</v>
      </c>
      <c r="F147" t="s">
        <v>160</v>
      </c>
      <c r="G147">
        <v>8906187980208</v>
      </c>
      <c r="H147">
        <v>21239907</v>
      </c>
    </row>
    <row r="148" spans="1:8" x14ac:dyDescent="0.3">
      <c r="A148">
        <v>148</v>
      </c>
      <c r="B148" t="s">
        <v>161</v>
      </c>
      <c r="C148">
        <v>549</v>
      </c>
      <c r="D148">
        <v>95030020</v>
      </c>
      <c r="E148">
        <v>0.05</v>
      </c>
      <c r="F148" t="s">
        <v>161</v>
      </c>
      <c r="G148">
        <v>8906187980239</v>
      </c>
    </row>
    <row r="149" spans="1:8" x14ac:dyDescent="0.3">
      <c r="A149">
        <v>149</v>
      </c>
      <c r="B149" t="s">
        <v>162</v>
      </c>
      <c r="C149">
        <v>669</v>
      </c>
      <c r="D149">
        <v>95030020</v>
      </c>
      <c r="E149">
        <v>0.05</v>
      </c>
      <c r="F149" t="s">
        <v>162</v>
      </c>
      <c r="G149">
        <v>8906187980215</v>
      </c>
      <c r="H149">
        <v>21239908</v>
      </c>
    </row>
    <row r="150" spans="1:8" x14ac:dyDescent="0.3">
      <c r="A150">
        <v>150</v>
      </c>
      <c r="B150" t="s">
        <v>163</v>
      </c>
      <c r="C150">
        <v>599</v>
      </c>
      <c r="D150">
        <v>95030020</v>
      </c>
      <c r="E150">
        <v>0.05</v>
      </c>
      <c r="F150" t="s">
        <v>163</v>
      </c>
      <c r="G150">
        <v>8906187980246</v>
      </c>
      <c r="H150">
        <v>21239910</v>
      </c>
    </row>
    <row r="151" spans="1:8" x14ac:dyDescent="0.3">
      <c r="A151">
        <v>151</v>
      </c>
      <c r="B151" t="s">
        <v>164</v>
      </c>
      <c r="C151">
        <v>749</v>
      </c>
      <c r="D151">
        <v>95030020</v>
      </c>
      <c r="E151">
        <v>0.05</v>
      </c>
      <c r="F151" t="s">
        <v>164</v>
      </c>
      <c r="G151">
        <v>8906187980260</v>
      </c>
      <c r="H151">
        <v>21239911</v>
      </c>
    </row>
    <row r="152" spans="1:8" x14ac:dyDescent="0.3">
      <c r="A152">
        <v>152</v>
      </c>
      <c r="B152" t="s">
        <v>165</v>
      </c>
      <c r="C152">
        <v>799</v>
      </c>
      <c r="D152">
        <v>95030020</v>
      </c>
      <c r="E152">
        <v>0.05</v>
      </c>
      <c r="F152" t="s">
        <v>165</v>
      </c>
      <c r="G152">
        <v>8906187980277</v>
      </c>
      <c r="H152">
        <v>21239912</v>
      </c>
    </row>
    <row r="153" spans="1:8" x14ac:dyDescent="0.3">
      <c r="A153">
        <v>153</v>
      </c>
      <c r="B153" t="s">
        <v>166</v>
      </c>
      <c r="C153">
        <v>1499</v>
      </c>
      <c r="D153">
        <v>95030020</v>
      </c>
      <c r="E153">
        <v>0.05</v>
      </c>
      <c r="F153" t="s">
        <v>166</v>
      </c>
      <c r="G153">
        <v>8906187980482</v>
      </c>
    </row>
    <row r="154" spans="1:8" x14ac:dyDescent="0.3">
      <c r="A154">
        <v>154</v>
      </c>
      <c r="B154" t="s">
        <v>167</v>
      </c>
      <c r="C154">
        <v>749</v>
      </c>
      <c r="D154">
        <v>95030020</v>
      </c>
      <c r="E154">
        <v>0.05</v>
      </c>
      <c r="F154" t="s">
        <v>167</v>
      </c>
      <c r="G154">
        <v>8906187980321</v>
      </c>
      <c r="H154">
        <v>22032969</v>
      </c>
    </row>
    <row r="155" spans="1:8" x14ac:dyDescent="0.3">
      <c r="A155">
        <v>155</v>
      </c>
      <c r="B155" t="s">
        <v>168</v>
      </c>
      <c r="C155">
        <v>899</v>
      </c>
      <c r="D155">
        <v>95030020</v>
      </c>
      <c r="E155">
        <v>0.05</v>
      </c>
      <c r="F155" t="s">
        <v>168</v>
      </c>
      <c r="G155">
        <v>8906187980369</v>
      </c>
      <c r="H155">
        <v>22032973</v>
      </c>
    </row>
    <row r="156" spans="1:8" x14ac:dyDescent="0.3">
      <c r="A156">
        <v>156</v>
      </c>
      <c r="B156" t="s">
        <v>169</v>
      </c>
      <c r="C156">
        <v>529</v>
      </c>
      <c r="D156">
        <v>95030020</v>
      </c>
      <c r="E156">
        <v>0.05</v>
      </c>
      <c r="F156" t="s">
        <v>169</v>
      </c>
      <c r="G156">
        <v>8906187980253</v>
      </c>
    </row>
    <row r="157" spans="1:8" x14ac:dyDescent="0.3">
      <c r="A157">
        <v>157</v>
      </c>
      <c r="B157" t="s">
        <v>170</v>
      </c>
      <c r="C157">
        <v>699</v>
      </c>
      <c r="D157">
        <v>95030020</v>
      </c>
      <c r="E157">
        <v>0.05</v>
      </c>
      <c r="F157" t="s">
        <v>170</v>
      </c>
      <c r="G157">
        <v>8906187980284</v>
      </c>
    </row>
    <row r="158" spans="1:8" x14ac:dyDescent="0.3">
      <c r="A158">
        <v>158</v>
      </c>
      <c r="B158" t="s">
        <v>171</v>
      </c>
      <c r="C158">
        <v>559</v>
      </c>
      <c r="D158">
        <v>95030020</v>
      </c>
      <c r="E158">
        <v>0.05</v>
      </c>
      <c r="F158" t="s">
        <v>171</v>
      </c>
      <c r="G158">
        <v>8906187980291</v>
      </c>
    </row>
    <row r="159" spans="1:8" x14ac:dyDescent="0.3">
      <c r="A159">
        <v>159</v>
      </c>
      <c r="B159" t="s">
        <v>172</v>
      </c>
      <c r="C159">
        <v>699</v>
      </c>
      <c r="D159">
        <v>95030020</v>
      </c>
      <c r="E159">
        <v>0.05</v>
      </c>
      <c r="F159" t="s">
        <v>172</v>
      </c>
      <c r="G159">
        <v>8906187980338</v>
      </c>
      <c r="H159">
        <v>22032970</v>
      </c>
    </row>
    <row r="160" spans="1:8" x14ac:dyDescent="0.3">
      <c r="A160">
        <v>160</v>
      </c>
      <c r="B160" t="s">
        <v>173</v>
      </c>
      <c r="C160">
        <v>1149</v>
      </c>
      <c r="D160">
        <v>95030020</v>
      </c>
      <c r="E160">
        <v>0.05</v>
      </c>
      <c r="F160" t="s">
        <v>173</v>
      </c>
      <c r="G160">
        <v>8906187980376</v>
      </c>
      <c r="H160">
        <v>22032974</v>
      </c>
    </row>
    <row r="161" spans="1:8" x14ac:dyDescent="0.3">
      <c r="A161">
        <v>161</v>
      </c>
      <c r="B161" t="s">
        <v>174</v>
      </c>
      <c r="C161">
        <v>649</v>
      </c>
      <c r="D161">
        <v>95030020</v>
      </c>
      <c r="E161">
        <v>0.05</v>
      </c>
      <c r="F161" t="s">
        <v>174</v>
      </c>
      <c r="G161">
        <v>8906187980383</v>
      </c>
    </row>
    <row r="162" spans="1:8" x14ac:dyDescent="0.3">
      <c r="A162">
        <v>162</v>
      </c>
      <c r="B162" t="s">
        <v>175</v>
      </c>
      <c r="C162">
        <v>699</v>
      </c>
      <c r="D162">
        <v>95030020</v>
      </c>
      <c r="E162">
        <v>0.05</v>
      </c>
      <c r="F162" t="s">
        <v>175</v>
      </c>
      <c r="G162">
        <v>8906187980307</v>
      </c>
      <c r="H162">
        <v>21239913</v>
      </c>
    </row>
    <row r="163" spans="1:8" x14ac:dyDescent="0.3">
      <c r="A163">
        <v>163</v>
      </c>
      <c r="B163" t="s">
        <v>176</v>
      </c>
      <c r="C163">
        <v>749</v>
      </c>
      <c r="D163">
        <v>95030020</v>
      </c>
      <c r="E163">
        <v>0.05</v>
      </c>
      <c r="F163" t="s">
        <v>176</v>
      </c>
      <c r="G163">
        <v>8906187980352</v>
      </c>
      <c r="H163">
        <v>22032975</v>
      </c>
    </row>
    <row r="164" spans="1:8" x14ac:dyDescent="0.3">
      <c r="A164">
        <v>164</v>
      </c>
      <c r="B164" t="s">
        <v>177</v>
      </c>
      <c r="C164">
        <v>699</v>
      </c>
      <c r="D164">
        <v>95030020</v>
      </c>
      <c r="E164">
        <v>0.05</v>
      </c>
      <c r="F164" t="s">
        <v>177</v>
      </c>
      <c r="G164">
        <v>8906187980413</v>
      </c>
      <c r="H164">
        <v>22032978</v>
      </c>
    </row>
    <row r="165" spans="1:8" x14ac:dyDescent="0.3">
      <c r="A165">
        <v>165</v>
      </c>
      <c r="B165" t="s">
        <v>178</v>
      </c>
      <c r="C165">
        <v>599</v>
      </c>
      <c r="D165">
        <v>95030020</v>
      </c>
      <c r="E165">
        <v>0.05</v>
      </c>
      <c r="F165" t="s">
        <v>178</v>
      </c>
      <c r="G165">
        <v>8906187980390</v>
      </c>
      <c r="H165">
        <v>22032977</v>
      </c>
    </row>
    <row r="166" spans="1:8" x14ac:dyDescent="0.3">
      <c r="A166">
        <v>166</v>
      </c>
      <c r="B166" t="s">
        <v>179</v>
      </c>
      <c r="C166">
        <v>899</v>
      </c>
      <c r="D166">
        <v>95030020</v>
      </c>
      <c r="E166">
        <v>0.05</v>
      </c>
      <c r="F166" t="s">
        <v>179</v>
      </c>
      <c r="G166">
        <v>8906187980475</v>
      </c>
    </row>
    <row r="167" spans="1:8" x14ac:dyDescent="0.3">
      <c r="A167">
        <v>167</v>
      </c>
      <c r="B167" t="s">
        <v>180</v>
      </c>
      <c r="C167">
        <v>1099</v>
      </c>
      <c r="D167">
        <v>95030020</v>
      </c>
      <c r="E167">
        <v>0.05</v>
      </c>
      <c r="F167" t="s">
        <v>180</v>
      </c>
      <c r="G167">
        <v>8906187980468</v>
      </c>
    </row>
    <row r="168" spans="1:8" x14ac:dyDescent="0.3">
      <c r="A168">
        <v>168</v>
      </c>
      <c r="B168" t="s">
        <v>181</v>
      </c>
      <c r="C168">
        <v>699</v>
      </c>
      <c r="D168">
        <v>95030020</v>
      </c>
      <c r="E168">
        <v>0.05</v>
      </c>
      <c r="F168" t="s">
        <v>181</v>
      </c>
      <c r="G168">
        <v>8906187980420</v>
      </c>
      <c r="H168">
        <v>22032979</v>
      </c>
    </row>
    <row r="169" spans="1:8" x14ac:dyDescent="0.3">
      <c r="A169">
        <v>169</v>
      </c>
      <c r="B169" t="s">
        <v>182</v>
      </c>
      <c r="C169">
        <v>799</v>
      </c>
      <c r="D169">
        <v>95030020</v>
      </c>
      <c r="E169">
        <v>0.05</v>
      </c>
      <c r="F169" t="s">
        <v>182</v>
      </c>
      <c r="G169">
        <v>8906187980444</v>
      </c>
    </row>
    <row r="170" spans="1:8" x14ac:dyDescent="0.3">
      <c r="A170">
        <v>170</v>
      </c>
      <c r="B170" t="s">
        <v>183</v>
      </c>
      <c r="C170">
        <v>799</v>
      </c>
      <c r="D170">
        <v>95030020</v>
      </c>
      <c r="E170">
        <v>0.05</v>
      </c>
      <c r="F170" t="s">
        <v>183</v>
      </c>
      <c r="G170">
        <v>8906187980451</v>
      </c>
    </row>
    <row r="171" spans="1:8" x14ac:dyDescent="0.3">
      <c r="A171">
        <v>171</v>
      </c>
      <c r="B171" t="s">
        <v>184</v>
      </c>
      <c r="C171">
        <v>849</v>
      </c>
      <c r="D171">
        <v>95030020</v>
      </c>
      <c r="E171">
        <v>0.05</v>
      </c>
      <c r="F171" t="s">
        <v>184</v>
      </c>
      <c r="G171">
        <v>8906187980512</v>
      </c>
    </row>
    <row r="172" spans="1:8" x14ac:dyDescent="0.3">
      <c r="A172">
        <v>172</v>
      </c>
      <c r="B172" t="s">
        <v>185</v>
      </c>
      <c r="C172">
        <v>1199</v>
      </c>
      <c r="D172">
        <v>95030020</v>
      </c>
      <c r="E172">
        <v>0.05</v>
      </c>
      <c r="F172" t="s">
        <v>185</v>
      </c>
      <c r="G172">
        <v>8906187980536</v>
      </c>
    </row>
    <row r="173" spans="1:8" x14ac:dyDescent="0.3">
      <c r="A173">
        <v>173</v>
      </c>
      <c r="B173" t="s">
        <v>186</v>
      </c>
      <c r="C173">
        <v>349</v>
      </c>
      <c r="D173">
        <v>95030020</v>
      </c>
      <c r="E173">
        <v>0.05</v>
      </c>
      <c r="F173" t="s">
        <v>186</v>
      </c>
      <c r="G173">
        <v>8906187980628</v>
      </c>
    </row>
    <row r="174" spans="1:8" x14ac:dyDescent="0.3">
      <c r="A174">
        <v>174</v>
      </c>
      <c r="B174" t="s">
        <v>187</v>
      </c>
      <c r="C174">
        <v>299</v>
      </c>
      <c r="D174">
        <v>95030020</v>
      </c>
      <c r="E174">
        <v>0.05</v>
      </c>
      <c r="F174" t="s">
        <v>187</v>
      </c>
      <c r="G174">
        <v>8906187980635</v>
      </c>
    </row>
    <row r="175" spans="1:8" x14ac:dyDescent="0.3">
      <c r="A175">
        <v>175</v>
      </c>
      <c r="B175" t="s">
        <v>188</v>
      </c>
      <c r="C175">
        <v>799</v>
      </c>
      <c r="D175">
        <v>95030020</v>
      </c>
      <c r="E175">
        <v>0.05</v>
      </c>
      <c r="F175" t="s">
        <v>188</v>
      </c>
      <c r="G175">
        <v>8906187980666</v>
      </c>
    </row>
    <row r="176" spans="1:8" x14ac:dyDescent="0.3">
      <c r="A176">
        <v>176</v>
      </c>
      <c r="B176" t="s">
        <v>254</v>
      </c>
      <c r="C176">
        <v>999</v>
      </c>
      <c r="D176">
        <v>95030020</v>
      </c>
      <c r="E176">
        <v>0.05</v>
      </c>
      <c r="F176" t="s">
        <v>254</v>
      </c>
      <c r="G176" s="7">
        <v>8906187980659</v>
      </c>
    </row>
    <row r="177" spans="1:7" x14ac:dyDescent="0.3">
      <c r="A177">
        <v>177</v>
      </c>
      <c r="B177" t="s">
        <v>255</v>
      </c>
      <c r="C177">
        <v>699</v>
      </c>
      <c r="D177">
        <v>95030020</v>
      </c>
      <c r="E177">
        <v>0.05</v>
      </c>
      <c r="F177" t="s">
        <v>255</v>
      </c>
      <c r="G177" s="7">
        <v>8906187980505</v>
      </c>
    </row>
  </sheetData>
  <pageMargins left="0.75" right="0.75" top="1" bottom="1" header="0.5" footer="0.5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43"/>
  <sheetViews>
    <sheetView workbookViewId="0">
      <selection activeCell="I19" sqref="I19"/>
    </sheetView>
  </sheetViews>
  <sheetFormatPr defaultRowHeight="14.4" x14ac:dyDescent="0.3"/>
  <sheetData>
    <row r="1" spans="1:6" x14ac:dyDescent="0.3">
      <c r="A1" t="s">
        <v>189</v>
      </c>
      <c r="B1" t="s">
        <v>190</v>
      </c>
      <c r="C1" t="s">
        <v>191</v>
      </c>
      <c r="D1" t="s">
        <v>192</v>
      </c>
      <c r="E1" t="s">
        <v>193</v>
      </c>
      <c r="F1" t="s">
        <v>194</v>
      </c>
    </row>
    <row r="2" spans="1:6" x14ac:dyDescent="0.3">
      <c r="A2" t="s">
        <v>195</v>
      </c>
      <c r="B2" t="s">
        <v>195</v>
      </c>
      <c r="C2">
        <v>0.52380000000000004</v>
      </c>
      <c r="D2">
        <v>0</v>
      </c>
      <c r="E2">
        <v>0.57630000000000003</v>
      </c>
      <c r="F2">
        <v>0</v>
      </c>
    </row>
    <row r="3" spans="1:6" x14ac:dyDescent="0.3">
      <c r="A3" t="s">
        <v>196</v>
      </c>
      <c r="B3" t="s">
        <v>196</v>
      </c>
      <c r="C3">
        <v>0.47619</v>
      </c>
      <c r="D3">
        <v>0</v>
      </c>
      <c r="E3">
        <v>0.53389799999999998</v>
      </c>
      <c r="F3">
        <v>0</v>
      </c>
    </row>
    <row r="4" spans="1:6" x14ac:dyDescent="0.3">
      <c r="A4" t="s">
        <v>197</v>
      </c>
      <c r="B4" t="s">
        <v>197</v>
      </c>
      <c r="C4">
        <v>0.47619</v>
      </c>
      <c r="D4">
        <v>0</v>
      </c>
      <c r="E4">
        <v>0.53389799999999998</v>
      </c>
      <c r="F4">
        <v>0</v>
      </c>
    </row>
    <row r="5" spans="1:6" x14ac:dyDescent="0.3">
      <c r="A5" t="s">
        <v>198</v>
      </c>
      <c r="B5" t="s">
        <v>198</v>
      </c>
      <c r="C5">
        <v>0.47619</v>
      </c>
      <c r="D5">
        <v>0</v>
      </c>
      <c r="E5">
        <v>0.53389799999999998</v>
      </c>
      <c r="F5">
        <v>0</v>
      </c>
    </row>
    <row r="6" spans="1:6" x14ac:dyDescent="0.3">
      <c r="A6" t="s">
        <v>199</v>
      </c>
      <c r="B6" t="s">
        <v>199</v>
      </c>
      <c r="C6">
        <v>0.47619</v>
      </c>
      <c r="D6">
        <v>0</v>
      </c>
      <c r="E6">
        <v>0.53389799999999998</v>
      </c>
      <c r="F6">
        <v>0</v>
      </c>
    </row>
    <row r="7" spans="1:6" x14ac:dyDescent="0.3">
      <c r="A7" t="s">
        <v>200</v>
      </c>
      <c r="B7" t="s">
        <v>200</v>
      </c>
      <c r="C7">
        <v>0.47619</v>
      </c>
      <c r="D7">
        <v>0</v>
      </c>
      <c r="E7">
        <v>0.53389799999999998</v>
      </c>
      <c r="F7">
        <v>0</v>
      </c>
    </row>
    <row r="8" spans="1:6" x14ac:dyDescent="0.3">
      <c r="A8" t="s">
        <v>201</v>
      </c>
      <c r="B8" t="s">
        <v>201</v>
      </c>
      <c r="C8">
        <v>0.47619</v>
      </c>
      <c r="D8">
        <v>0</v>
      </c>
      <c r="E8">
        <v>0.53389799999999998</v>
      </c>
      <c r="F8">
        <v>0</v>
      </c>
    </row>
    <row r="9" spans="1:6" x14ac:dyDescent="0.3">
      <c r="A9" t="s">
        <v>202</v>
      </c>
      <c r="B9" t="s">
        <v>202</v>
      </c>
      <c r="C9">
        <v>0.47620000000000001</v>
      </c>
      <c r="D9">
        <v>0</v>
      </c>
      <c r="E9">
        <v>0.53390000000000004</v>
      </c>
      <c r="F9">
        <v>0</v>
      </c>
    </row>
    <row r="10" spans="1:6" x14ac:dyDescent="0.3">
      <c r="A10" t="s">
        <v>203</v>
      </c>
      <c r="B10" t="s">
        <v>203</v>
      </c>
      <c r="C10">
        <v>0.52380000000000004</v>
      </c>
      <c r="D10">
        <v>0</v>
      </c>
      <c r="E10">
        <v>0.57630000000000003</v>
      </c>
      <c r="F10">
        <v>0</v>
      </c>
    </row>
    <row r="11" spans="1:6" x14ac:dyDescent="0.3">
      <c r="A11" t="s">
        <v>204</v>
      </c>
      <c r="B11" t="s">
        <v>204</v>
      </c>
      <c r="C11">
        <v>0.47620000000000001</v>
      </c>
      <c r="D11">
        <v>0</v>
      </c>
      <c r="E11">
        <v>0.53390000000000004</v>
      </c>
      <c r="F11">
        <v>0</v>
      </c>
    </row>
    <row r="12" spans="1:6" x14ac:dyDescent="0.3">
      <c r="A12" t="s">
        <v>205</v>
      </c>
      <c r="B12" t="s">
        <v>205</v>
      </c>
      <c r="C12">
        <v>0.50470000000000004</v>
      </c>
      <c r="D12">
        <v>0</v>
      </c>
      <c r="E12">
        <v>0.55930000000000002</v>
      </c>
      <c r="F12">
        <v>0</v>
      </c>
    </row>
    <row r="13" spans="1:6" x14ac:dyDescent="0.3">
      <c r="A13" t="s">
        <v>206</v>
      </c>
      <c r="B13" t="s">
        <v>206</v>
      </c>
      <c r="C13">
        <v>0.47620000000000001</v>
      </c>
      <c r="D13">
        <v>0</v>
      </c>
      <c r="E13">
        <v>0.53390000000000004</v>
      </c>
      <c r="F13">
        <v>0</v>
      </c>
    </row>
    <row r="14" spans="1:6" x14ac:dyDescent="0.3">
      <c r="A14" t="s">
        <v>207</v>
      </c>
      <c r="B14" t="s">
        <v>207</v>
      </c>
      <c r="C14">
        <v>0.47620000000000001</v>
      </c>
      <c r="D14">
        <v>0</v>
      </c>
      <c r="E14">
        <v>0.53390000000000004</v>
      </c>
      <c r="F14">
        <v>0</v>
      </c>
    </row>
    <row r="15" spans="1:6" x14ac:dyDescent="0.3">
      <c r="A15" t="s">
        <v>208</v>
      </c>
      <c r="B15" t="s">
        <v>208</v>
      </c>
      <c r="C15">
        <v>0.52380000000000004</v>
      </c>
      <c r="D15">
        <v>0</v>
      </c>
      <c r="E15">
        <v>0.57630000000000003</v>
      </c>
      <c r="F15">
        <v>0</v>
      </c>
    </row>
    <row r="16" spans="1:6" x14ac:dyDescent="0.3">
      <c r="A16" t="s">
        <v>209</v>
      </c>
      <c r="B16" t="s">
        <v>209</v>
      </c>
      <c r="C16">
        <v>0.47620000000000001</v>
      </c>
      <c r="D16">
        <v>0</v>
      </c>
      <c r="E16">
        <v>0.53390000000000004</v>
      </c>
      <c r="F16">
        <v>0</v>
      </c>
    </row>
    <row r="17" spans="1:6" x14ac:dyDescent="0.3">
      <c r="A17" t="s">
        <v>210</v>
      </c>
      <c r="B17" t="s">
        <v>210</v>
      </c>
      <c r="C17">
        <v>0.47620000000000001</v>
      </c>
      <c r="D17">
        <v>0</v>
      </c>
      <c r="E17">
        <v>0.53390000000000004</v>
      </c>
      <c r="F17">
        <v>0</v>
      </c>
    </row>
    <row r="18" spans="1:6" x14ac:dyDescent="0.3">
      <c r="A18" t="s">
        <v>211</v>
      </c>
      <c r="B18" t="s">
        <v>211</v>
      </c>
      <c r="C18">
        <v>0.47620000000000001</v>
      </c>
      <c r="D18">
        <v>0</v>
      </c>
      <c r="E18">
        <v>0.53390000000000004</v>
      </c>
      <c r="F18">
        <v>0</v>
      </c>
    </row>
    <row r="19" spans="1:6" x14ac:dyDescent="0.3">
      <c r="A19" t="s">
        <v>212</v>
      </c>
      <c r="B19" t="s">
        <v>212</v>
      </c>
      <c r="C19">
        <v>0.52380000000000004</v>
      </c>
      <c r="D19">
        <v>0</v>
      </c>
      <c r="E19">
        <v>0.57630000000000003</v>
      </c>
      <c r="F19">
        <v>0</v>
      </c>
    </row>
    <row r="20" spans="1:6" x14ac:dyDescent="0.3">
      <c r="A20" t="s">
        <v>213</v>
      </c>
      <c r="B20" t="s">
        <v>213</v>
      </c>
      <c r="C20">
        <v>0.47620000000000001</v>
      </c>
      <c r="D20">
        <v>0</v>
      </c>
      <c r="E20">
        <v>0.53390000000000004</v>
      </c>
      <c r="F20">
        <v>0</v>
      </c>
    </row>
    <row r="21" spans="1:6" x14ac:dyDescent="0.3">
      <c r="A21" t="s">
        <v>214</v>
      </c>
      <c r="B21" t="s">
        <v>214</v>
      </c>
      <c r="C21">
        <v>0.47620000000000001</v>
      </c>
      <c r="D21">
        <v>0</v>
      </c>
      <c r="E21">
        <v>0.53390000000000004</v>
      </c>
      <c r="F21">
        <v>0</v>
      </c>
    </row>
    <row r="22" spans="1:6" x14ac:dyDescent="0.3">
      <c r="A22" t="s">
        <v>215</v>
      </c>
      <c r="B22" t="s">
        <v>215</v>
      </c>
      <c r="C22">
        <v>0.52380000000000004</v>
      </c>
      <c r="D22">
        <v>0</v>
      </c>
      <c r="E22">
        <v>0.57630000000000003</v>
      </c>
      <c r="F22">
        <v>0</v>
      </c>
    </row>
    <row r="23" spans="1:6" x14ac:dyDescent="0.3">
      <c r="A23" t="s">
        <v>216</v>
      </c>
      <c r="B23" t="s">
        <v>216</v>
      </c>
      <c r="C23">
        <v>0.47620000000000001</v>
      </c>
      <c r="D23">
        <v>0</v>
      </c>
      <c r="E23">
        <v>0.53390000000000004</v>
      </c>
      <c r="F23">
        <v>0</v>
      </c>
    </row>
    <row r="24" spans="1:6" x14ac:dyDescent="0.3">
      <c r="A24" t="s">
        <v>217</v>
      </c>
      <c r="B24" t="s">
        <v>217</v>
      </c>
      <c r="C24">
        <v>0.52380000000000004</v>
      </c>
      <c r="D24">
        <v>0</v>
      </c>
      <c r="E24">
        <v>0.57630000000000003</v>
      </c>
      <c r="F24">
        <v>0</v>
      </c>
    </row>
    <row r="25" spans="1:6" x14ac:dyDescent="0.3">
      <c r="A25" t="s">
        <v>218</v>
      </c>
      <c r="B25" t="s">
        <v>218</v>
      </c>
      <c r="C25">
        <v>0.47620000000000001</v>
      </c>
      <c r="D25">
        <v>0</v>
      </c>
      <c r="E25">
        <v>0.53390000000000004</v>
      </c>
      <c r="F25">
        <v>0</v>
      </c>
    </row>
    <row r="26" spans="1:6" x14ac:dyDescent="0.3">
      <c r="A26" t="s">
        <v>219</v>
      </c>
      <c r="B26" t="s">
        <v>219</v>
      </c>
      <c r="C26">
        <v>0.47620000000000001</v>
      </c>
      <c r="D26">
        <v>0</v>
      </c>
      <c r="E26">
        <v>0.53390000000000004</v>
      </c>
      <c r="F26">
        <v>0</v>
      </c>
    </row>
    <row r="27" spans="1:6" x14ac:dyDescent="0.3">
      <c r="A27" t="s">
        <v>220</v>
      </c>
      <c r="B27" t="s">
        <v>220</v>
      </c>
      <c r="C27">
        <v>0.47620000000000001</v>
      </c>
      <c r="D27">
        <v>0</v>
      </c>
      <c r="E27">
        <v>0.53390000000000004</v>
      </c>
      <c r="F27">
        <v>0</v>
      </c>
    </row>
    <row r="28" spans="1:6" x14ac:dyDescent="0.3">
      <c r="A28" t="s">
        <v>221</v>
      </c>
      <c r="B28" t="s">
        <v>221</v>
      </c>
      <c r="C28">
        <v>0.47620000000000001</v>
      </c>
      <c r="D28">
        <v>0</v>
      </c>
      <c r="E28">
        <v>0.53390000000000004</v>
      </c>
      <c r="F28">
        <v>0</v>
      </c>
    </row>
    <row r="29" spans="1:6" x14ac:dyDescent="0.3">
      <c r="A29" t="s">
        <v>222</v>
      </c>
      <c r="B29" t="s">
        <v>222</v>
      </c>
      <c r="C29">
        <v>0.47620000000000001</v>
      </c>
      <c r="D29">
        <v>0</v>
      </c>
      <c r="E29">
        <v>0.53390000000000004</v>
      </c>
      <c r="F29">
        <v>0</v>
      </c>
    </row>
    <row r="30" spans="1:6" x14ac:dyDescent="0.3">
      <c r="A30" t="s">
        <v>223</v>
      </c>
      <c r="B30" t="s">
        <v>223</v>
      </c>
      <c r="C30">
        <v>0.47620000000000001</v>
      </c>
      <c r="D30">
        <v>0</v>
      </c>
      <c r="E30">
        <v>0.53390000000000004</v>
      </c>
      <c r="F30">
        <v>0</v>
      </c>
    </row>
    <row r="31" spans="1:6" x14ac:dyDescent="0.3">
      <c r="A31" t="s">
        <v>224</v>
      </c>
      <c r="B31" t="s">
        <v>224</v>
      </c>
      <c r="C31">
        <v>0.47620000000000001</v>
      </c>
      <c r="D31">
        <v>0</v>
      </c>
      <c r="E31">
        <v>0.53390000000000004</v>
      </c>
      <c r="F31">
        <v>0</v>
      </c>
    </row>
    <row r="32" spans="1:6" x14ac:dyDescent="0.3">
      <c r="A32" t="s">
        <v>225</v>
      </c>
      <c r="B32" t="s">
        <v>225</v>
      </c>
      <c r="C32">
        <v>0.47620000000000001</v>
      </c>
      <c r="D32">
        <v>0</v>
      </c>
      <c r="E32">
        <v>0.53390000000000004</v>
      </c>
      <c r="F32">
        <v>0</v>
      </c>
    </row>
    <row r="33" spans="1:6" x14ac:dyDescent="0.3">
      <c r="A33" t="s">
        <v>226</v>
      </c>
      <c r="B33" t="s">
        <v>226</v>
      </c>
      <c r="C33">
        <v>0.47620000000000001</v>
      </c>
      <c r="D33">
        <v>0</v>
      </c>
      <c r="E33">
        <v>0.53390000000000004</v>
      </c>
      <c r="F33">
        <v>0</v>
      </c>
    </row>
    <row r="34" spans="1:6" x14ac:dyDescent="0.3">
      <c r="A34" t="s">
        <v>227</v>
      </c>
      <c r="B34" t="s">
        <v>227</v>
      </c>
      <c r="C34">
        <v>0.49719999999999998</v>
      </c>
      <c r="D34">
        <v>0</v>
      </c>
      <c r="E34">
        <v>0.57440000000000002</v>
      </c>
      <c r="F34">
        <v>0</v>
      </c>
    </row>
    <row r="35" spans="1:6" x14ac:dyDescent="0.3">
      <c r="A35" t="s">
        <v>228</v>
      </c>
      <c r="B35" t="s">
        <v>228</v>
      </c>
      <c r="C35">
        <v>0.47620000000000001</v>
      </c>
      <c r="D35">
        <v>0</v>
      </c>
      <c r="E35">
        <v>0.53390000000000004</v>
      </c>
      <c r="F35">
        <v>0</v>
      </c>
    </row>
    <row r="36" spans="1:6" x14ac:dyDescent="0.3">
      <c r="A36" t="s">
        <v>229</v>
      </c>
      <c r="B36" t="s">
        <v>229</v>
      </c>
      <c r="C36">
        <v>0.52380000000000004</v>
      </c>
      <c r="D36">
        <v>0</v>
      </c>
      <c r="E36">
        <v>0.57630000000000003</v>
      </c>
      <c r="F36">
        <v>0</v>
      </c>
    </row>
    <row r="37" spans="1:6" x14ac:dyDescent="0.3">
      <c r="A37" t="s">
        <v>230</v>
      </c>
      <c r="B37" t="s">
        <v>230</v>
      </c>
      <c r="C37">
        <v>0.47620000000000001</v>
      </c>
      <c r="D37">
        <v>0</v>
      </c>
      <c r="E37">
        <v>0.53390000000000004</v>
      </c>
      <c r="F37">
        <v>0</v>
      </c>
    </row>
    <row r="38" spans="1:6" x14ac:dyDescent="0.3">
      <c r="A38" t="s">
        <v>231</v>
      </c>
      <c r="B38" t="s">
        <v>231</v>
      </c>
      <c r="C38">
        <v>0.47620000000000001</v>
      </c>
      <c r="D38">
        <v>0</v>
      </c>
      <c r="E38">
        <v>0.53390000000000004</v>
      </c>
      <c r="F38">
        <v>0</v>
      </c>
    </row>
    <row r="39" spans="1:6" x14ac:dyDescent="0.3">
      <c r="A39" t="s">
        <v>232</v>
      </c>
      <c r="B39" t="s">
        <v>232</v>
      </c>
      <c r="C39">
        <v>0.52380000000000004</v>
      </c>
      <c r="D39">
        <v>0</v>
      </c>
      <c r="E39">
        <v>0.57630000000000003</v>
      </c>
      <c r="F39">
        <v>0</v>
      </c>
    </row>
    <row r="40" spans="1:6" x14ac:dyDescent="0.3">
      <c r="A40" t="s">
        <v>233</v>
      </c>
      <c r="B40" t="s">
        <v>233</v>
      </c>
      <c r="C40">
        <v>0.4738</v>
      </c>
      <c r="D40">
        <v>0</v>
      </c>
      <c r="E40">
        <v>0.53180000000000005</v>
      </c>
      <c r="F40">
        <v>0</v>
      </c>
    </row>
    <row r="41" spans="1:6" x14ac:dyDescent="0.3">
      <c r="A41" t="s">
        <v>234</v>
      </c>
      <c r="B41" t="s">
        <v>234</v>
      </c>
      <c r="C41">
        <v>0.43080000000000002</v>
      </c>
      <c r="D41">
        <v>0</v>
      </c>
      <c r="E41">
        <v>0.50719999999999998</v>
      </c>
      <c r="F41">
        <v>0</v>
      </c>
    </row>
    <row r="42" spans="1:6" x14ac:dyDescent="0.3">
      <c r="A42" t="s">
        <v>235</v>
      </c>
      <c r="B42" t="s">
        <v>235</v>
      </c>
      <c r="C42">
        <v>0.47620000000000001</v>
      </c>
      <c r="D42">
        <v>0</v>
      </c>
      <c r="E42">
        <v>0.53390000000000004</v>
      </c>
      <c r="F42">
        <v>0</v>
      </c>
    </row>
    <row r="43" spans="1:6" x14ac:dyDescent="0.3">
      <c r="A43" t="s">
        <v>236</v>
      </c>
      <c r="B43" t="s">
        <v>236</v>
      </c>
      <c r="C43">
        <v>0.47620000000000001</v>
      </c>
      <c r="D43">
        <v>0</v>
      </c>
      <c r="E43">
        <v>0.53390000000000004</v>
      </c>
      <c r="F43">
        <v>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Amit Order</vt:lpstr>
      <vt:lpstr>Blinkit Order</vt:lpstr>
      <vt:lpstr>Firstcry Order</vt:lpstr>
      <vt:lpstr>Swiggy Order</vt:lpstr>
      <vt:lpstr>template</vt:lpstr>
      <vt:lpstr>Price list</vt:lpstr>
      <vt:lpstr>discount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DELL</cp:lastModifiedBy>
  <dcterms:created xsi:type="dcterms:W3CDTF">2026-08-17T07:54:12Z</dcterms:created>
  <dcterms:modified xsi:type="dcterms:W3CDTF">2026-08-18T07:42:46Z</dcterms:modified>
</cp:coreProperties>
</file>