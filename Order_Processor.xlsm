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8276F4B6-197A-4C0D-87FF-3E658A54597E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" l="1"/>
  <c r="H5" i="3"/>
  <c r="F5" i="3"/>
  <c r="D5" i="3"/>
  <c r="L44" i="3"/>
  <c r="K44" i="3"/>
  <c r="D44" i="3"/>
  <c r="C44" i="3"/>
  <c r="M43" i="3"/>
  <c r="L43" i="3"/>
  <c r="K43" i="3"/>
  <c r="J43" i="3"/>
  <c r="I43" i="3"/>
  <c r="H43" i="3"/>
  <c r="G43" i="3"/>
  <c r="F43" i="3"/>
  <c r="M42" i="3"/>
  <c r="L42" i="3"/>
  <c r="K42" i="3"/>
  <c r="J42" i="3"/>
  <c r="I42" i="3"/>
  <c r="H42" i="3"/>
  <c r="G42" i="3"/>
  <c r="F42" i="3"/>
  <c r="L41" i="3"/>
  <c r="K41" i="3"/>
  <c r="J41" i="3"/>
  <c r="I41" i="3"/>
  <c r="H41" i="3"/>
  <c r="G41" i="3"/>
  <c r="F41" i="3"/>
  <c r="M40" i="3"/>
  <c r="L40" i="3"/>
  <c r="K40" i="3"/>
  <c r="J40" i="3"/>
  <c r="I40" i="3"/>
  <c r="H40" i="3"/>
  <c r="G40" i="3"/>
  <c r="F40" i="3"/>
  <c r="M39" i="3"/>
  <c r="L39" i="3"/>
  <c r="K39" i="3"/>
  <c r="J39" i="3"/>
  <c r="I39" i="3"/>
  <c r="H39" i="3"/>
  <c r="G39" i="3"/>
  <c r="F39" i="3"/>
  <c r="M38" i="3"/>
  <c r="L38" i="3"/>
  <c r="K38" i="3"/>
  <c r="J38" i="3"/>
  <c r="I38" i="3"/>
  <c r="H38" i="3"/>
  <c r="G38" i="3"/>
  <c r="F38" i="3"/>
  <c r="M37" i="3"/>
  <c r="L37" i="3"/>
  <c r="K37" i="3"/>
  <c r="J37" i="3"/>
  <c r="I37" i="3"/>
  <c r="H37" i="3"/>
  <c r="G37" i="3"/>
  <c r="F37" i="3"/>
  <c r="M36" i="3"/>
  <c r="L36" i="3"/>
  <c r="K36" i="3"/>
  <c r="J36" i="3"/>
  <c r="I36" i="3"/>
  <c r="H36" i="3"/>
  <c r="G36" i="3"/>
  <c r="F36" i="3"/>
  <c r="M35" i="3"/>
  <c r="L35" i="3"/>
  <c r="K35" i="3"/>
  <c r="J35" i="3"/>
  <c r="I35" i="3"/>
  <c r="H35" i="3"/>
  <c r="G35" i="3"/>
  <c r="F35" i="3"/>
  <c r="M34" i="3"/>
  <c r="L34" i="3"/>
  <c r="K34" i="3"/>
  <c r="J34" i="3"/>
  <c r="I34" i="3"/>
  <c r="H34" i="3"/>
  <c r="G34" i="3"/>
  <c r="F34" i="3"/>
  <c r="M33" i="3"/>
  <c r="L33" i="3"/>
  <c r="K33" i="3"/>
  <c r="J33" i="3"/>
  <c r="I33" i="3"/>
  <c r="H33" i="3"/>
  <c r="G33" i="3"/>
  <c r="F33" i="3"/>
  <c r="M32" i="3"/>
  <c r="L32" i="3"/>
  <c r="K32" i="3"/>
  <c r="J32" i="3"/>
  <c r="I32" i="3"/>
  <c r="H32" i="3"/>
  <c r="G32" i="3"/>
  <c r="F32" i="3"/>
  <c r="M31" i="3"/>
  <c r="L31" i="3"/>
  <c r="K31" i="3"/>
  <c r="J31" i="3"/>
  <c r="I31" i="3"/>
  <c r="H31" i="3"/>
  <c r="G31" i="3"/>
  <c r="F31" i="3"/>
  <c r="M30" i="3"/>
  <c r="L30" i="3"/>
  <c r="K30" i="3"/>
  <c r="J30" i="3"/>
  <c r="I30" i="3"/>
  <c r="H30" i="3"/>
  <c r="G30" i="3"/>
  <c r="F30" i="3"/>
  <c r="M29" i="3"/>
  <c r="L29" i="3"/>
  <c r="K29" i="3"/>
  <c r="J29" i="3"/>
  <c r="I29" i="3"/>
  <c r="H29" i="3"/>
  <c r="G29" i="3"/>
  <c r="F29" i="3"/>
  <c r="M28" i="3"/>
  <c r="L28" i="3"/>
  <c r="K28" i="3"/>
  <c r="J28" i="3"/>
  <c r="I28" i="3"/>
  <c r="H28" i="3"/>
  <c r="G28" i="3"/>
  <c r="F28" i="3"/>
  <c r="M27" i="3"/>
  <c r="L27" i="3"/>
  <c r="K27" i="3"/>
  <c r="J27" i="3"/>
  <c r="I27" i="3"/>
  <c r="H27" i="3"/>
  <c r="G27" i="3"/>
  <c r="F27" i="3"/>
  <c r="M26" i="3"/>
  <c r="L26" i="3"/>
  <c r="K26" i="3"/>
  <c r="J26" i="3"/>
  <c r="I26" i="3"/>
  <c r="H26" i="3"/>
  <c r="G26" i="3"/>
  <c r="F26" i="3"/>
  <c r="L25" i="3"/>
  <c r="K25" i="3"/>
  <c r="J25" i="3"/>
  <c r="I25" i="3"/>
  <c r="H25" i="3"/>
  <c r="G25" i="3"/>
  <c r="F25" i="3"/>
  <c r="M24" i="3"/>
  <c r="L24" i="3"/>
  <c r="K24" i="3"/>
  <c r="J24" i="3"/>
  <c r="I24" i="3"/>
  <c r="H24" i="3"/>
  <c r="G24" i="3"/>
  <c r="F24" i="3"/>
  <c r="M23" i="3"/>
  <c r="L23" i="3"/>
  <c r="K23" i="3"/>
  <c r="J23" i="3"/>
  <c r="I23" i="3"/>
  <c r="H23" i="3"/>
  <c r="G23" i="3"/>
  <c r="F23" i="3"/>
  <c r="M22" i="3"/>
  <c r="L22" i="3"/>
  <c r="K22" i="3"/>
  <c r="J22" i="3"/>
  <c r="I22" i="3"/>
  <c r="H22" i="3"/>
  <c r="G22" i="3"/>
  <c r="F22" i="3"/>
  <c r="M21" i="3"/>
  <c r="L21" i="3"/>
  <c r="K21" i="3"/>
  <c r="J21" i="3"/>
  <c r="I21" i="3"/>
  <c r="H21" i="3"/>
  <c r="G21" i="3"/>
  <c r="F21" i="3"/>
  <c r="M20" i="3"/>
  <c r="L20" i="3"/>
  <c r="K20" i="3"/>
  <c r="J20" i="3"/>
  <c r="I20" i="3"/>
  <c r="H20" i="3"/>
  <c r="G20" i="3"/>
  <c r="F20" i="3"/>
  <c r="M19" i="3"/>
  <c r="L19" i="3"/>
  <c r="K19" i="3"/>
  <c r="J19" i="3"/>
  <c r="I19" i="3"/>
  <c r="H19" i="3"/>
  <c r="G19" i="3"/>
  <c r="F19" i="3"/>
  <c r="M18" i="3"/>
  <c r="L18" i="3"/>
  <c r="K18" i="3"/>
  <c r="J18" i="3"/>
  <c r="I18" i="3"/>
  <c r="H18" i="3"/>
  <c r="G18" i="3"/>
  <c r="F18" i="3"/>
  <c r="M17" i="3"/>
  <c r="L17" i="3"/>
  <c r="K17" i="3"/>
  <c r="J17" i="3"/>
  <c r="I17" i="3"/>
  <c r="H17" i="3"/>
  <c r="G17" i="3"/>
  <c r="F17" i="3"/>
  <c r="M16" i="3"/>
  <c r="L16" i="3"/>
  <c r="K16" i="3"/>
  <c r="J16" i="3"/>
  <c r="I16" i="3"/>
  <c r="H16" i="3"/>
  <c r="G16" i="3"/>
  <c r="F16" i="3"/>
  <c r="M15" i="3"/>
  <c r="L15" i="3"/>
  <c r="K15" i="3"/>
  <c r="J15" i="3"/>
  <c r="I15" i="3"/>
  <c r="H15" i="3"/>
  <c r="G15" i="3"/>
  <c r="F15" i="3"/>
  <c r="L14" i="3"/>
  <c r="K14" i="3"/>
  <c r="J14" i="3"/>
  <c r="I14" i="3"/>
  <c r="H14" i="3"/>
  <c r="G14" i="3"/>
  <c r="F14" i="3"/>
  <c r="M13" i="3"/>
  <c r="L13" i="3"/>
  <c r="K13" i="3"/>
  <c r="J13" i="3"/>
  <c r="I13" i="3"/>
  <c r="H13" i="3"/>
  <c r="G13" i="3"/>
  <c r="F13" i="3"/>
  <c r="M12" i="3"/>
  <c r="L12" i="3"/>
  <c r="K12" i="3"/>
  <c r="J12" i="3"/>
  <c r="I12" i="3"/>
  <c r="H12" i="3"/>
  <c r="G12" i="3"/>
  <c r="F12" i="3"/>
  <c r="M11" i="3"/>
  <c r="L11" i="3"/>
  <c r="K11" i="3"/>
  <c r="J11" i="3"/>
  <c r="I11" i="3"/>
  <c r="H11" i="3"/>
  <c r="G11" i="3"/>
  <c r="F11" i="3"/>
  <c r="K5" i="1"/>
  <c r="H5" i="1"/>
  <c r="F5" i="1"/>
  <c r="D5" i="1"/>
  <c r="K5" i="2"/>
  <c r="H5" i="2"/>
  <c r="F5" i="2"/>
  <c r="D5" i="2"/>
</calcChain>
</file>

<file path=xl/sharedStrings.xml><?xml version="1.0" encoding="utf-8"?>
<sst xmlns="http://schemas.openxmlformats.org/spreadsheetml/2006/main" count="643" uniqueCount="306">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</sst>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zoomScale="70" zoomScaleNormal="70" workbookViewId="0">
      <selection activeCell="C34" sqref="C34:D34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227</v>
      </c>
      <c r="B5" s="16"/>
      <c r="C5" s="16"/>
      <c r="D5" s="20">
        <f>COUNTA(A11:A33)</f>
        <v>0</v>
      </c>
      <c r="E5" s="19"/>
      <c r="F5" s="20">
        <f>C34</f>
        <v>0</v>
      </c>
      <c r="G5" s="19"/>
      <c r="H5" s="23">
        <f>L34</f>
        <v>0</v>
      </c>
      <c r="I5" s="22"/>
      <c r="J5" s="22"/>
      <c r="K5" s="26">
        <f>K34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x14ac:dyDescent="0.35">
      <c r="J13" s="9"/>
    </row>
    <row r="14" spans="1:13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1"/>
      <c r="K14" s="10"/>
      <c r="L14" s="10"/>
    </row>
    <row r="15" spans="1:13" x14ac:dyDescent="0.35">
      <c r="J15" s="9"/>
    </row>
    <row r="16" spans="1:13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1"/>
      <c r="K16" s="10"/>
      <c r="L16" s="10"/>
    </row>
    <row r="17" spans="1:12" x14ac:dyDescent="0.35">
      <c r="J17" s="9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1"/>
      <c r="K18" s="10"/>
      <c r="L18" s="10"/>
    </row>
    <row r="19" spans="1:12" x14ac:dyDescent="0.35">
      <c r="J19" s="9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1"/>
      <c r="K20" s="10"/>
      <c r="L20" s="10"/>
    </row>
    <row r="21" spans="1:12" x14ac:dyDescent="0.35">
      <c r="J21" s="9"/>
    </row>
    <row r="22" spans="1:12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1"/>
      <c r="K22" s="10"/>
      <c r="L22" s="10"/>
    </row>
    <row r="23" spans="1:12" x14ac:dyDescent="0.35">
      <c r="J23" s="9"/>
    </row>
    <row r="24" spans="1:12" x14ac:dyDescent="0.35">
      <c r="A24" s="10"/>
      <c r="B24" s="10"/>
      <c r="C24" s="10"/>
      <c r="D24" s="10"/>
      <c r="E24" s="10"/>
      <c r="F24" s="10"/>
      <c r="G24" s="10"/>
      <c r="H24" s="10"/>
      <c r="I24" s="10"/>
      <c r="J24" s="11"/>
      <c r="K24" s="10"/>
      <c r="L24" s="10"/>
    </row>
    <row r="25" spans="1:12" x14ac:dyDescent="0.35">
      <c r="J25" s="9"/>
    </row>
    <row r="26" spans="1:12" x14ac:dyDescent="0.35">
      <c r="A26" s="10"/>
      <c r="B26" s="10"/>
      <c r="C26" s="10"/>
      <c r="D26" s="10"/>
      <c r="E26" s="10"/>
      <c r="F26" s="10"/>
      <c r="G26" s="10"/>
      <c r="H26" s="10"/>
      <c r="I26" s="10"/>
      <c r="J26" s="11"/>
      <c r="K26" s="10"/>
      <c r="L26" s="10"/>
    </row>
    <row r="27" spans="1:12" x14ac:dyDescent="0.35">
      <c r="J27" s="9"/>
    </row>
    <row r="28" spans="1:12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1"/>
      <c r="K28" s="10"/>
      <c r="L28" s="10"/>
    </row>
    <row r="29" spans="1:12" x14ac:dyDescent="0.35">
      <c r="J29" s="9"/>
    </row>
    <row r="30" spans="1:12" x14ac:dyDescent="0.35">
      <c r="A30" s="10"/>
      <c r="B30" s="10"/>
      <c r="C30" s="10"/>
      <c r="D30" s="10"/>
      <c r="E30" s="10"/>
      <c r="F30" s="10"/>
      <c r="G30" s="10"/>
      <c r="H30" s="10"/>
      <c r="I30" s="10"/>
      <c r="J30" s="11"/>
      <c r="K30" s="10"/>
      <c r="L30" s="10"/>
    </row>
    <row r="31" spans="1:12" x14ac:dyDescent="0.35">
      <c r="J31" s="9"/>
    </row>
    <row r="32" spans="1:12" x14ac:dyDescent="0.35">
      <c r="A32" s="10"/>
      <c r="B32" s="10"/>
      <c r="C32" s="10"/>
      <c r="D32" s="10"/>
      <c r="E32" s="10"/>
      <c r="F32" s="10"/>
      <c r="G32" s="10"/>
      <c r="H32" s="10"/>
      <c r="I32" s="10"/>
      <c r="J32" s="11"/>
      <c r="K32" s="10"/>
      <c r="L32" s="10"/>
    </row>
    <row r="33" spans="1:12" ht="15" thickBot="1" x14ac:dyDescent="0.4">
      <c r="J33" s="9"/>
    </row>
    <row r="34" spans="1:12" ht="17" thickBot="1" x14ac:dyDescent="0.5">
      <c r="A34" s="12"/>
      <c r="B34" s="12"/>
      <c r="C34" s="8"/>
      <c r="D34" s="8"/>
      <c r="E34" s="8"/>
      <c r="F34" s="8"/>
      <c r="G34" s="8"/>
      <c r="H34" s="8"/>
      <c r="I34" s="8"/>
      <c r="J34" s="8"/>
      <c r="K34" s="8"/>
      <c r="L34" s="8"/>
    </row>
  </sheetData>
  <mergeCells count="12">
    <mergeCell ref="A34:B3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196</v>
      </c>
      <c r="B5" s="16"/>
      <c r="C5" s="16"/>
      <c r="D5" s="20">
        <f>COUNTA(A11:A12)</f>
        <v>0</v>
      </c>
      <c r="E5" s="19"/>
      <c r="F5" s="20">
        <f>C13</f>
        <v>0</v>
      </c>
      <c r="G5" s="19"/>
      <c r="H5" s="23">
        <f>L13</f>
        <v>0</v>
      </c>
      <c r="I5" s="22"/>
      <c r="J5" s="22"/>
      <c r="K5" s="26">
        <f>K13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ht="15" thickBot="1" x14ac:dyDescent="0.4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ht="17" thickBot="1" x14ac:dyDescent="0.5">
      <c r="A13" s="12"/>
      <c r="B13" s="12"/>
      <c r="C13" s="8"/>
      <c r="D13" s="8"/>
      <c r="E13" s="8"/>
      <c r="F13" s="8"/>
      <c r="G13" s="8"/>
      <c r="H13" s="8"/>
      <c r="I13" s="8"/>
      <c r="J13" s="8"/>
      <c r="K13" s="8"/>
      <c r="L13" s="8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277</v>
      </c>
      <c r="B5" s="16"/>
      <c r="C5" s="16"/>
      <c r="D5" s="20">
        <f>COUNTA(A11:A43)</f>
        <v>33</v>
      </c>
      <c r="E5" s="19"/>
      <c r="F5" s="20">
        <f>C44</f>
        <v>34</v>
      </c>
      <c r="G5" s="19"/>
      <c r="H5" s="23">
        <f>L44</f>
        <v>13734.49</v>
      </c>
      <c r="I5" s="22"/>
      <c r="J5" s="22"/>
      <c r="K5" s="26">
        <f>K44</f>
        <v>16901.509999999998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9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10" t="s">
        <v>147</v>
      </c>
      <c r="B12" s="10" t="s">
        <v>280</v>
      </c>
      <c r="C12" s="10">
        <v>2</v>
      </c>
      <c r="D12" s="10">
        <v>0</v>
      </c>
      <c r="E12" s="10">
        <v>769</v>
      </c>
      <c r="F12" s="10" t="str">
        <f>IF(ISBLANK(A12), "", IFERROR(INDEX('Price list'!B:B, MATCH(LEFT(UPPER(SUBSTITUTE(A12, " ", "")), 8) &amp; "*", 'Price list'!F:F, 0)), ""))</f>
        <v>SMRT1293</v>
      </c>
      <c r="G12" s="10">
        <f>IF(ISBLANK(A12), "", IFERROR(INDEX('Price list'!C:C, MATCH(LEFT(UPPER(SUBSTITUTE(A12, " ", "")), 8) &amp; "*", 'Price list'!F:F, 0)), 0))</f>
        <v>769</v>
      </c>
      <c r="H12" s="10">
        <f>IF(ISBLANK(A12), "", IFERROR(INDEX('Price list'!E:E, MATCH(LEFT(UPPER(SUBSTITUTE(A12, " ", "")), 8) &amp; "*", 'Price list'!F:F, 0)), 0))</f>
        <v>0.05</v>
      </c>
      <c r="I12" s="10">
        <f>IF(ISBLANK(A12), "", IFERROR(INDEX('Price list'!D:D, MATCH(LEFT(UPPER(SUBSTITUTE(A12, " ", "")), 8) &amp; "*", 'Price list'!F:F, 0)), ""))</f>
        <v>95030020</v>
      </c>
      <c r="J12" s="11">
        <f>IF(ISBLANK(A12), 0, IF(G12=0, 0, ROUND(1 - (348.87 / G12), 5)))</f>
        <v>0.54632999999999998</v>
      </c>
      <c r="K12" s="10">
        <f t="shared" si="0"/>
        <v>840.26</v>
      </c>
      <c r="L12" s="10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9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10" t="s">
        <v>170</v>
      </c>
      <c r="B14" s="10" t="s">
        <v>282</v>
      </c>
      <c r="C14" s="10">
        <v>1</v>
      </c>
      <c r="D14" s="10">
        <v>0</v>
      </c>
      <c r="E14" s="10">
        <v>699</v>
      </c>
      <c r="F14" s="10" t="str">
        <f>IF(ISBLANK(A14), "", IFERROR(INDEX('Price list'!B:B, MATCH(LEFT(UPPER(SUBSTITUTE(A14, " ", "")), 8) &amp; "*", 'Price list'!F:F, 0)), ""))</f>
        <v>SMRT1328</v>
      </c>
      <c r="G14" s="10">
        <f>IF(ISBLANK(A14), "", IFERROR(INDEX('Price list'!C:C, MATCH(LEFT(UPPER(SUBSTITUTE(A14, " ", "")), 8) &amp; "*", 'Price list'!F:F, 0)), 0))</f>
        <v>699</v>
      </c>
      <c r="H14" s="10">
        <f>IF(ISBLANK(A14), "", IFERROR(INDEX('Price list'!E:E, MATCH(LEFT(UPPER(SUBSTITUTE(A14, " ", "")), 8) &amp; "*", 'Price list'!F:F, 0)), 0))</f>
        <v>0.05</v>
      </c>
      <c r="I14" s="10">
        <f>IF(ISBLANK(A14), "", IFERROR(INDEX('Price list'!D:D, MATCH(LEFT(UPPER(SUBSTITUTE(A14, " ", "")), 8) &amp; "*", 'Price list'!F:F, 0)), ""))</f>
        <v>95030020</v>
      </c>
      <c r="J14" s="11">
        <f>IF(ISBLANK(A14), 0, IF(G14=0, 0, ROUND(1 - (313.75 / G14), 5)))</f>
        <v>0.55113999999999996</v>
      </c>
      <c r="K14" s="10">
        <f t="shared" si="0"/>
        <v>385.25</v>
      </c>
      <c r="L14" s="10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9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10" t="s">
        <v>156</v>
      </c>
      <c r="B16" s="10" t="s">
        <v>281</v>
      </c>
      <c r="C16" s="10">
        <v>1</v>
      </c>
      <c r="D16" s="10">
        <v>0</v>
      </c>
      <c r="E16" s="10">
        <v>1149</v>
      </c>
      <c r="F16" s="10" t="str">
        <f>IF(ISBLANK(A16), "", IFERROR(INDEX('Price list'!B:B, MATCH(LEFT(UPPER(SUBSTITUTE(A16, " ", "")), 8) &amp; "*", 'Price list'!F:F, 0)), ""))</f>
        <v>SMRT1303</v>
      </c>
      <c r="G16" s="10">
        <f>IF(ISBLANK(A16), "", IFERROR(INDEX('Price list'!C:C, MATCH(LEFT(UPPER(SUBSTITUTE(A16, " ", "")), 8) &amp; "*", 'Price list'!F:F, 0)), 0))</f>
        <v>1149</v>
      </c>
      <c r="H16" s="10">
        <f>IF(ISBLANK(A16), "", IFERROR(INDEX('Price list'!E:E, MATCH(LEFT(UPPER(SUBSTITUTE(A16, " ", "")), 8) &amp; "*", 'Price list'!F:F, 0)), 0))</f>
        <v>0.05</v>
      </c>
      <c r="I16" s="10">
        <f>IF(ISBLANK(A16), "", IFERROR(INDEX('Price list'!D:D, MATCH(LEFT(UPPER(SUBSTITUTE(A16, " ", "")), 8) &amp; "*", 'Price list'!F:F, 0)), ""))</f>
        <v>95030020</v>
      </c>
      <c r="J16" s="11">
        <f>IF(ISBLANK(A16), 0, IF(G16=0, 0, ROUND(1 - (546 / G16), 5)))</f>
        <v>0.52480000000000004</v>
      </c>
      <c r="K16" s="10">
        <f t="shared" si="0"/>
        <v>603</v>
      </c>
      <c r="L16" s="10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9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10" t="s">
        <v>115</v>
      </c>
      <c r="B18" s="10" t="s">
        <v>285</v>
      </c>
      <c r="C18" s="10">
        <v>1</v>
      </c>
      <c r="D18" s="10">
        <v>0</v>
      </c>
      <c r="E18" s="10">
        <v>1099</v>
      </c>
      <c r="F18" s="10" t="str">
        <f>IF(ISBLANK(A18), "", IFERROR(INDEX('Price list'!B:B, MATCH(LEFT(UPPER(SUBSTITUTE(A18, " ", "")), 8) &amp; "*", 'Price list'!F:F, 0)), ""))</f>
        <v>SMRT1230-18</v>
      </c>
      <c r="G18" s="10">
        <f>IF(ISBLANK(A18), "", IFERROR(INDEX('Price list'!C:C, MATCH(LEFT(UPPER(SUBSTITUTE(A18, " ", "")), 8) &amp; "*", 'Price list'!F:F, 0)), 0))</f>
        <v>1099</v>
      </c>
      <c r="H18" s="10">
        <f>IF(ISBLANK(A18), "", IFERROR(INDEX('Price list'!E:E, MATCH(LEFT(UPPER(SUBSTITUTE(A18, " ", "")), 8) &amp; "*", 'Price list'!F:F, 0)), 0))</f>
        <v>0.18</v>
      </c>
      <c r="I18" s="10">
        <f>IF(ISBLANK(A18), "", IFERROR(INDEX('Price list'!D:D, MATCH(LEFT(UPPER(SUBSTITUTE(A18, " ", "")), 8) &amp; "*", 'Price list'!F:F, 0)), ""))</f>
        <v>95030010</v>
      </c>
      <c r="J18" s="11">
        <f>IF(ISBLANK(A18), 0, IF(G18=0, 0, ROUND(1 - (408.67 / G18), 5)))</f>
        <v>0.62814000000000003</v>
      </c>
      <c r="K18" s="10">
        <f t="shared" si="0"/>
        <v>690.33</v>
      </c>
      <c r="L18" s="10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9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10" t="s">
        <v>121</v>
      </c>
      <c r="B20" s="10" t="s">
        <v>287</v>
      </c>
      <c r="C20" s="10">
        <v>1</v>
      </c>
      <c r="D20" s="10">
        <v>0</v>
      </c>
      <c r="E20" s="10">
        <v>819</v>
      </c>
      <c r="F20" s="10" t="str">
        <f>IF(ISBLANK(A20), "", IFERROR(INDEX('Price list'!B:B, MATCH(LEFT(UPPER(SUBSTITUTE(A20, " ", "")), 8) &amp; "*", 'Price list'!F:F, 0)), ""))</f>
        <v>SMRT1242 V2</v>
      </c>
      <c r="G20" s="10">
        <f>IF(ISBLANK(A20), "", IFERROR(INDEX('Price list'!C:C, MATCH(LEFT(UPPER(SUBSTITUTE(A20, " ", "")), 8) &amp; "*", 'Price list'!F:F, 0)), 0))</f>
        <v>819</v>
      </c>
      <c r="H20" s="10">
        <f>IF(ISBLANK(A20), "", IFERROR(INDEX('Price list'!E:E, MATCH(LEFT(UPPER(SUBSTITUTE(A20, " ", "")), 8) &amp; "*", 'Price list'!F:F, 0)), 0))</f>
        <v>0.05</v>
      </c>
      <c r="I20" s="10">
        <f>IF(ISBLANK(A20), "", IFERROR(INDEX('Price list'!D:D, MATCH(LEFT(UPPER(SUBSTITUTE(A20, " ", "")), 8) &amp; "*", 'Price list'!F:F, 0)), ""))</f>
        <v>95030020</v>
      </c>
      <c r="J20" s="11">
        <f>IF(ISBLANK(A20), 0, IF(G20=0, 0, ROUND(1 - (366.15 / G20), 5)))</f>
        <v>0.55293000000000003</v>
      </c>
      <c r="K20" s="10">
        <f t="shared" si="0"/>
        <v>452.85</v>
      </c>
      <c r="L20" s="10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9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10" t="s">
        <v>121</v>
      </c>
      <c r="B22" s="10" t="s">
        <v>287</v>
      </c>
      <c r="C22" s="10">
        <v>1</v>
      </c>
      <c r="D22" s="10">
        <v>0</v>
      </c>
      <c r="E22" s="10">
        <v>819</v>
      </c>
      <c r="F22" s="10" t="str">
        <f>IF(ISBLANK(A22), "", IFERROR(INDEX('Price list'!B:B, MATCH(LEFT(UPPER(SUBSTITUTE(A22, " ", "")), 8) &amp; "*", 'Price list'!F:F, 0)), ""))</f>
        <v>SMRT1242 V2</v>
      </c>
      <c r="G22" s="10">
        <f>IF(ISBLANK(A22), "", IFERROR(INDEX('Price list'!C:C, MATCH(LEFT(UPPER(SUBSTITUTE(A22, " ", "")), 8) &amp; "*", 'Price list'!F:F, 0)), 0))</f>
        <v>819</v>
      </c>
      <c r="H22" s="10">
        <f>IF(ISBLANK(A22), "", IFERROR(INDEX('Price list'!E:E, MATCH(LEFT(UPPER(SUBSTITUTE(A22, " ", "")), 8) &amp; "*", 'Price list'!F:F, 0)), 0))</f>
        <v>0.05</v>
      </c>
      <c r="I22" s="10">
        <f>IF(ISBLANK(A22), "", IFERROR(INDEX('Price list'!D:D, MATCH(LEFT(UPPER(SUBSTITUTE(A22, " ", "")), 8) &amp; "*", 'Price list'!F:F, 0)), ""))</f>
        <v>95030020</v>
      </c>
      <c r="J22" s="11">
        <f>IF(ISBLANK(A22), 0, IF(G22=0, 0, ROUND(1 - (366.15 / G22), 5)))</f>
        <v>0.55293000000000003</v>
      </c>
      <c r="K22" s="10">
        <f t="shared" si="0"/>
        <v>452.85</v>
      </c>
      <c r="L22" s="10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9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10" t="s">
        <v>176</v>
      </c>
      <c r="B24" s="10" t="s">
        <v>289</v>
      </c>
      <c r="C24" s="10">
        <v>1</v>
      </c>
      <c r="D24" s="10">
        <v>0</v>
      </c>
      <c r="E24" s="10">
        <v>749</v>
      </c>
      <c r="F24" s="10" t="str">
        <f>IF(ISBLANK(A24), "", IFERROR(INDEX('Price list'!B:B, MATCH(LEFT(UPPER(SUBSTITUTE(A24, " ", "")), 8) &amp; "*", 'Price list'!F:F, 0)), ""))</f>
        <v>SMRT1337</v>
      </c>
      <c r="G24" s="10">
        <f>IF(ISBLANK(A24), "", IFERROR(INDEX('Price list'!C:C, MATCH(LEFT(UPPER(SUBSTITUTE(A24, " ", "")), 8) &amp; "*", 'Price list'!F:F, 0)), 0))</f>
        <v>749</v>
      </c>
      <c r="H24" s="10">
        <f>IF(ISBLANK(A24), "", IFERROR(INDEX('Price list'!E:E, MATCH(LEFT(UPPER(SUBSTITUTE(A24, " ", "")), 8) &amp; "*", 'Price list'!F:F, 0)), 0))</f>
        <v>0.05</v>
      </c>
      <c r="I24" s="10">
        <f>IF(ISBLANK(A24), "", IFERROR(INDEX('Price list'!D:D, MATCH(LEFT(UPPER(SUBSTITUTE(A24, " ", "")), 8) &amp; "*", 'Price list'!F:F, 0)), ""))</f>
        <v>95030020</v>
      </c>
      <c r="J24" s="11">
        <f>IF(ISBLANK(A24), 0, IF(G24=0, 0, ROUND(1 - (336.19 / G24), 5)))</f>
        <v>0.55115000000000003</v>
      </c>
      <c r="K24" s="10">
        <f t="shared" si="0"/>
        <v>412.81</v>
      </c>
      <c r="L24" s="10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9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10" t="s">
        <v>121</v>
      </c>
      <c r="B26" s="10" t="s">
        <v>287</v>
      </c>
      <c r="C26" s="10">
        <v>1</v>
      </c>
      <c r="D26" s="10">
        <v>0</v>
      </c>
      <c r="E26" s="10">
        <v>819</v>
      </c>
      <c r="F26" s="10" t="str">
        <f>IF(ISBLANK(A26), "", IFERROR(INDEX('Price list'!B:B, MATCH(LEFT(UPPER(SUBSTITUTE(A26, " ", "")), 8) &amp; "*", 'Price list'!F:F, 0)), ""))</f>
        <v>SMRT1242 V2</v>
      </c>
      <c r="G26" s="10">
        <f>IF(ISBLANK(A26), "", IFERROR(INDEX('Price list'!C:C, MATCH(LEFT(UPPER(SUBSTITUTE(A26, " ", "")), 8) &amp; "*", 'Price list'!F:F, 0)), 0))</f>
        <v>819</v>
      </c>
      <c r="H26" s="10">
        <f>IF(ISBLANK(A26), "", IFERROR(INDEX('Price list'!E:E, MATCH(LEFT(UPPER(SUBSTITUTE(A26, " ", "")), 8) &amp; "*", 'Price list'!F:F, 0)), 0))</f>
        <v>0.05</v>
      </c>
      <c r="I26" s="10">
        <f>IF(ISBLANK(A26), "", IFERROR(INDEX('Price list'!D:D, MATCH(LEFT(UPPER(SUBSTITUTE(A26, " ", "")), 8) &amp; "*", 'Price list'!F:F, 0)), ""))</f>
        <v>95030020</v>
      </c>
      <c r="J26" s="11">
        <f>IF(ISBLANK(A26), 0, IF(G26=0, 0, ROUND(1 - (366.15 / G26), 5)))</f>
        <v>0.55293000000000003</v>
      </c>
      <c r="K26" s="10">
        <f t="shared" si="0"/>
        <v>452.85</v>
      </c>
      <c r="L26" s="10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9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10" t="s">
        <v>91</v>
      </c>
      <c r="B28" s="10" t="s">
        <v>293</v>
      </c>
      <c r="C28" s="10">
        <v>1</v>
      </c>
      <c r="D28" s="10">
        <v>0</v>
      </c>
      <c r="E28" s="10">
        <v>1159</v>
      </c>
      <c r="F28" s="10" t="str">
        <f>IF(ISBLANK(A28), "", IFERROR(INDEX('Price list'!B:B, MATCH(LEFT(UPPER(SUBSTITUTE(A28, " ", "")), 8) &amp; "*", 'Price list'!F:F, 0)), ""))</f>
        <v>SMRT1184</v>
      </c>
      <c r="G28" s="10">
        <f>IF(ISBLANK(A28), "", IFERROR(INDEX('Price list'!C:C, MATCH(LEFT(UPPER(SUBSTITUTE(A28, " ", "")), 8) &amp; "*", 'Price list'!F:F, 0)), 0))</f>
        <v>1159</v>
      </c>
      <c r="H28" s="10">
        <f>IF(ISBLANK(A28), "", IFERROR(INDEX('Price list'!E:E, MATCH(LEFT(UPPER(SUBSTITUTE(A28, " ", "")), 8) &amp; "*", 'Price list'!F:F, 0)), 0))</f>
        <v>0.05</v>
      </c>
      <c r="I28" s="10">
        <f>IF(ISBLANK(A28), "", IFERROR(INDEX('Price list'!D:D, MATCH(LEFT(UPPER(SUBSTITUTE(A28, " ", "")), 8) &amp; "*", 'Price list'!F:F, 0)), ""))</f>
        <v>95030020</v>
      </c>
      <c r="J28" s="11">
        <f>IF(ISBLANK(A28), 0, IF(G28=0, 0, ROUND(1 - (518.03 / G28), 5)))</f>
        <v>0.55303999999999998</v>
      </c>
      <c r="K28" s="10">
        <f t="shared" si="0"/>
        <v>640.97</v>
      </c>
      <c r="L28" s="10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9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10" t="s">
        <v>76</v>
      </c>
      <c r="B30" s="10" t="s">
        <v>294</v>
      </c>
      <c r="C30" s="10">
        <v>1</v>
      </c>
      <c r="D30" s="10">
        <v>0</v>
      </c>
      <c r="E30" s="10">
        <v>979</v>
      </c>
      <c r="F30" s="10" t="str">
        <f>IF(ISBLANK(A30), "", IFERROR(INDEX('Price list'!B:B, MATCH(LEFT(UPPER(SUBSTITUTE(A30, " ", "")), 8) &amp; "*", 'Price list'!F:F, 0)), ""))</f>
        <v>SMRT1163 (V3)</v>
      </c>
      <c r="G30" s="10">
        <f>IF(ISBLANK(A30), "", IFERROR(INDEX('Price list'!C:C, MATCH(LEFT(UPPER(SUBSTITUTE(A30, " ", "")), 8) &amp; "*", 'Price list'!F:F, 0)), 0))</f>
        <v>979</v>
      </c>
      <c r="H30" s="10">
        <f>IF(ISBLANK(A30), "", IFERROR(INDEX('Price list'!E:E, MATCH(LEFT(UPPER(SUBSTITUTE(A30, " ", "")), 8) &amp; "*", 'Price list'!F:F, 0)), 0))</f>
        <v>0.05</v>
      </c>
      <c r="I30" s="10">
        <f>IF(ISBLANK(A30), "", IFERROR(INDEX('Price list'!D:D, MATCH(LEFT(UPPER(SUBSTITUTE(A30, " ", "")), 8) &amp; "*", 'Price list'!F:F, 0)), ""))</f>
        <v>95030020</v>
      </c>
      <c r="J30" s="11">
        <f>IF(ISBLANK(A30), 0, IF(G30=0, 0, ROUND(1 - (418.61 / G30), 5)))</f>
        <v>0.57240999999999997</v>
      </c>
      <c r="K30" s="10">
        <f t="shared" si="0"/>
        <v>560.39</v>
      </c>
      <c r="L30" s="10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9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10" t="s">
        <v>139</v>
      </c>
      <c r="B32" s="10" t="s">
        <v>296</v>
      </c>
      <c r="C32" s="10">
        <v>1</v>
      </c>
      <c r="D32" s="10">
        <v>0</v>
      </c>
      <c r="E32" s="10">
        <v>769</v>
      </c>
      <c r="F32" s="10" t="str">
        <f>IF(ISBLANK(A32), "", IFERROR(INDEX('Price list'!B:B, MATCH(LEFT(UPPER(SUBSTITUTE(A32, " ", "")), 8) &amp; "*", 'Price list'!F:F, 0)), ""))</f>
        <v>SMRT1277</v>
      </c>
      <c r="G32" s="10">
        <f>IF(ISBLANK(A32), "", IFERROR(INDEX('Price list'!C:C, MATCH(LEFT(UPPER(SUBSTITUTE(A32, " ", "")), 8) &amp; "*", 'Price list'!F:F, 0)), 0))</f>
        <v>769</v>
      </c>
      <c r="H32" s="10">
        <f>IF(ISBLANK(A32), "", IFERROR(INDEX('Price list'!E:E, MATCH(LEFT(UPPER(SUBSTITUTE(A32, " ", "")), 8) &amp; "*", 'Price list'!F:F, 0)), 0))</f>
        <v>0.05</v>
      </c>
      <c r="I32" s="10">
        <f>IF(ISBLANK(A32), "", IFERROR(INDEX('Price list'!D:D, MATCH(LEFT(UPPER(SUBSTITUTE(A32, " ", "")), 8) &amp; "*", 'Price list'!F:F, 0)), ""))</f>
        <v>95030020</v>
      </c>
      <c r="J32" s="11">
        <f>IF(ISBLANK(A32), 0, IF(G32=0, 0, ROUND(1 - (324.22 / G32), 5)))</f>
        <v>0.57838999999999996</v>
      </c>
      <c r="K32" s="10">
        <f t="shared" si="0"/>
        <v>444.78</v>
      </c>
      <c r="L32" s="10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9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10" t="s">
        <v>139</v>
      </c>
      <c r="B34" s="10" t="s">
        <v>296</v>
      </c>
      <c r="C34" s="10">
        <v>1</v>
      </c>
      <c r="D34" s="10">
        <v>0</v>
      </c>
      <c r="E34" s="10">
        <v>769</v>
      </c>
      <c r="F34" s="10" t="str">
        <f>IF(ISBLANK(A34), "", IFERROR(INDEX('Price list'!B:B, MATCH(LEFT(UPPER(SUBSTITUTE(A34, " ", "")), 8) &amp; "*", 'Price list'!F:F, 0)), ""))</f>
        <v>SMRT1277</v>
      </c>
      <c r="G34" s="10">
        <f>IF(ISBLANK(A34), "", IFERROR(INDEX('Price list'!C:C, MATCH(LEFT(UPPER(SUBSTITUTE(A34, " ", "")), 8) &amp; "*", 'Price list'!F:F, 0)), 0))</f>
        <v>769</v>
      </c>
      <c r="H34" s="10">
        <f>IF(ISBLANK(A34), "", IFERROR(INDEX('Price list'!E:E, MATCH(LEFT(UPPER(SUBSTITUTE(A34, " ", "")), 8) &amp; "*", 'Price list'!F:F, 0)), 0))</f>
        <v>0.05</v>
      </c>
      <c r="I34" s="10">
        <f>IF(ISBLANK(A34), "", IFERROR(INDEX('Price list'!D:D, MATCH(LEFT(UPPER(SUBSTITUTE(A34, " ", "")), 8) &amp; "*", 'Price list'!F:F, 0)), ""))</f>
        <v>95030020</v>
      </c>
      <c r="J34" s="11">
        <f>IF(ISBLANK(A34), 0, IF(G34=0, 0, ROUND(1 - (324.22 / G34), 5)))</f>
        <v>0.57838999999999996</v>
      </c>
      <c r="K34" s="10">
        <f t="shared" si="0"/>
        <v>444.78</v>
      </c>
      <c r="L34" s="10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9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10" t="s">
        <v>168</v>
      </c>
      <c r="B36" s="10" t="s">
        <v>299</v>
      </c>
      <c r="C36" s="10">
        <v>1</v>
      </c>
      <c r="D36" s="10">
        <v>0</v>
      </c>
      <c r="E36" s="10">
        <v>899</v>
      </c>
      <c r="F36" s="10" t="str">
        <f>IF(ISBLANK(A36), "", IFERROR(INDEX('Price list'!B:B, MATCH(LEFT(UPPER(SUBSTITUTE(A36, " ", "")), 8) &amp; "*", 'Price list'!F:F, 0)), ""))</f>
        <v>SMRT1325</v>
      </c>
      <c r="G36" s="10">
        <f>IF(ISBLANK(A36), "", IFERROR(INDEX('Price list'!C:C, MATCH(LEFT(UPPER(SUBSTITUTE(A36, " ", "")), 8) &amp; "*", 'Price list'!F:F, 0)), 0))</f>
        <v>899</v>
      </c>
      <c r="H36" s="10">
        <f>IF(ISBLANK(A36), "", IFERROR(INDEX('Price list'!E:E, MATCH(LEFT(UPPER(SUBSTITUTE(A36, " ", "")), 8) &amp; "*", 'Price list'!F:F, 0)), 0))</f>
        <v>0.05</v>
      </c>
      <c r="I36" s="10">
        <f>IF(ISBLANK(A36), "", IFERROR(INDEX('Price list'!D:D, MATCH(LEFT(UPPER(SUBSTITUTE(A36, " ", "")), 8) &amp; "*", 'Price list'!F:F, 0)), ""))</f>
        <v>95030020</v>
      </c>
      <c r="J36" s="11">
        <f>IF(ISBLANK(A36), 0, IF(G36=0, 0, ROUND(1 - (415.43 / G36), 5)))</f>
        <v>0.53790000000000004</v>
      </c>
      <c r="K36" s="10">
        <f t="shared" si="0"/>
        <v>483.57</v>
      </c>
      <c r="L36" s="10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9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10" t="s">
        <v>163</v>
      </c>
      <c r="B38" s="10" t="s">
        <v>284</v>
      </c>
      <c r="C38" s="10">
        <v>1</v>
      </c>
      <c r="D38" s="10">
        <v>0</v>
      </c>
      <c r="E38" s="10">
        <v>599</v>
      </c>
      <c r="F38" s="10" t="str">
        <f>IF(ISBLANK(A38), "", IFERROR(INDEX('Price list'!B:B, MATCH(LEFT(UPPER(SUBSTITUTE(A38, " ", "")), 8) &amp; "*", 'Price list'!F:F, 0)), ""))</f>
        <v>SMRT1320</v>
      </c>
      <c r="G38" s="10">
        <f>IF(ISBLANK(A38), "", IFERROR(INDEX('Price list'!C:C, MATCH(LEFT(UPPER(SUBSTITUTE(A38, " ", "")), 8) &amp; "*", 'Price list'!F:F, 0)), 0))</f>
        <v>599</v>
      </c>
      <c r="H38" s="10">
        <f>IF(ISBLANK(A38), "", IFERROR(INDEX('Price list'!E:E, MATCH(LEFT(UPPER(SUBSTITUTE(A38, " ", "")), 8) &amp; "*", 'Price list'!F:F, 0)), 0))</f>
        <v>0.05</v>
      </c>
      <c r="I38" s="10">
        <f>IF(ISBLANK(A38), "", IFERROR(INDEX('Price list'!D:D, MATCH(LEFT(UPPER(SUBSTITUTE(A38, " ", "")), 8) &amp; "*", 'Price list'!F:F, 0)), ""))</f>
        <v>95030020</v>
      </c>
      <c r="J38" s="11">
        <f>IF(ISBLANK(A38), 0, IF(G38=0, 0, ROUND(1 - (270.4 / G38), 5)))</f>
        <v>0.54857999999999996</v>
      </c>
      <c r="K38" s="10">
        <f t="shared" si="0"/>
        <v>328.6</v>
      </c>
      <c r="L38" s="10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9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10" t="s">
        <v>173</v>
      </c>
      <c r="B40" s="10" t="s">
        <v>288</v>
      </c>
      <c r="C40" s="10">
        <v>1</v>
      </c>
      <c r="D40" s="10">
        <v>0</v>
      </c>
      <c r="E40" s="10">
        <v>1149</v>
      </c>
      <c r="F40" s="10" t="str">
        <f>IF(ISBLANK(A40), "", IFERROR(INDEX('Price list'!B:B, MATCH(LEFT(UPPER(SUBSTITUTE(A40, " ", "")), 8) &amp; "*", 'Price list'!F:F, 0)), ""))</f>
        <v>SMRT1334</v>
      </c>
      <c r="G40" s="10">
        <f>IF(ISBLANK(A40), "", IFERROR(INDEX('Price list'!C:C, MATCH(LEFT(UPPER(SUBSTITUTE(A40, " ", "")), 8) &amp; "*", 'Price list'!F:F, 0)), 0))</f>
        <v>1149</v>
      </c>
      <c r="H40" s="10">
        <f>IF(ISBLANK(A40), "", IFERROR(INDEX('Price list'!E:E, MATCH(LEFT(UPPER(SUBSTITUTE(A40, " ", "")), 8) &amp; "*", 'Price list'!F:F, 0)), 0))</f>
        <v>0.05</v>
      </c>
      <c r="I40" s="10">
        <f>IF(ISBLANK(A40), "", IFERROR(INDEX('Price list'!D:D, MATCH(LEFT(UPPER(SUBSTITUTE(A40, " ", "")), 8) &amp; "*", 'Price list'!F:F, 0)), ""))</f>
        <v>95030020</v>
      </c>
      <c r="J40" s="11">
        <f>IF(ISBLANK(A40), 0, IF(G40=0, 0, ROUND(1 - (546 / G40), 5)))</f>
        <v>0.52480000000000004</v>
      </c>
      <c r="K40" s="10">
        <f t="shared" si="0"/>
        <v>603</v>
      </c>
      <c r="L40" s="10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9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10" t="s">
        <v>165</v>
      </c>
      <c r="B42" s="10" t="s">
        <v>297</v>
      </c>
      <c r="C42" s="10">
        <v>1</v>
      </c>
      <c r="D42" s="10">
        <v>0</v>
      </c>
      <c r="E42" s="10">
        <v>799</v>
      </c>
      <c r="F42" s="10" t="str">
        <f>IF(ISBLANK(A42), "", IFERROR(INDEX('Price list'!B:B, MATCH(LEFT(UPPER(SUBSTITUTE(A42, " ", "")), 8) &amp; "*", 'Price list'!F:F, 0)), ""))</f>
        <v>SMRT1322</v>
      </c>
      <c r="G42" s="10">
        <f>IF(ISBLANK(A42), "", IFERROR(INDEX('Price list'!C:C, MATCH(LEFT(UPPER(SUBSTITUTE(A42, " ", "")), 8) &amp; "*", 'Price list'!F:F, 0)), 0))</f>
        <v>799</v>
      </c>
      <c r="H42" s="10">
        <f>IF(ISBLANK(A42), "", IFERROR(INDEX('Price list'!E:E, MATCH(LEFT(UPPER(SUBSTITUTE(A42, " ", "")), 8) &amp; "*", 'Price list'!F:F, 0)), 0))</f>
        <v>0.05</v>
      </c>
      <c r="I42" s="10">
        <f>IF(ISBLANK(A42), "", IFERROR(INDEX('Price list'!D:D, MATCH(LEFT(UPPER(SUBSTITUTE(A42, " ", "")), 8) &amp; "*", 'Price list'!F:F, 0)), ""))</f>
        <v>95030020</v>
      </c>
      <c r="J42" s="11">
        <f>IF(ISBLANK(A42), 0, IF(G42=0, 0, ROUND(1 - (369.56 / G42), 5)))</f>
        <v>0.53747</v>
      </c>
      <c r="K42" s="10">
        <f t="shared" si="0"/>
        <v>429.44</v>
      </c>
      <c r="L42" s="10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9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2" t="s">
        <v>304</v>
      </c>
      <c r="B44" s="12"/>
      <c r="C44" s="8">
        <f>SUM(C11:C43)</f>
        <v>34</v>
      </c>
      <c r="D44" s="8">
        <f>SUM(D11:D43)</f>
        <v>0</v>
      </c>
      <c r="E44" s="8"/>
      <c r="F44" s="8"/>
      <c r="G44" s="8"/>
      <c r="H44" s="8"/>
      <c r="I44" s="8"/>
      <c r="J44" s="8"/>
      <c r="K44" s="8">
        <f>SUM(K11:K43)</f>
        <v>16901.509999999998</v>
      </c>
      <c r="L44" s="8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9" t="s">
        <v>253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8"/>
      <c r="D4" s="28"/>
      <c r="E4" s="28"/>
      <c r="F4" s="28"/>
    </row>
    <row r="5" spans="1:13" ht="22" customHeight="1" x14ac:dyDescent="0.35">
      <c r="B5" s="5" t="s">
        <v>238</v>
      </c>
      <c r="C5" s="27"/>
      <c r="D5" s="27"/>
      <c r="E5" s="27"/>
      <c r="F5" s="27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4"/>
  <sheetViews>
    <sheetView topLeftCell="A2" workbookViewId="0">
      <selection activeCell="L16" sqref="L16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  <row r="2" spans="1:11" x14ac:dyDescent="0.35">
      <c r="A2" t="s">
        <v>158</v>
      </c>
      <c r="C2">
        <v>2</v>
      </c>
      <c r="D2">
        <v>799</v>
      </c>
      <c r="E2">
        <v>53.747</v>
      </c>
      <c r="G2">
        <v>5</v>
      </c>
    </row>
    <row r="3" spans="1:11" x14ac:dyDescent="0.35">
      <c r="A3" t="s">
        <v>147</v>
      </c>
      <c r="C3">
        <v>2</v>
      </c>
      <c r="D3">
        <v>769</v>
      </c>
      <c r="E3">
        <v>54.633000000000003</v>
      </c>
      <c r="G3">
        <v>5</v>
      </c>
    </row>
    <row r="4" spans="1:11" x14ac:dyDescent="0.35">
      <c r="A4" t="s">
        <v>156</v>
      </c>
      <c r="C4">
        <v>2</v>
      </c>
      <c r="D4">
        <v>1149</v>
      </c>
      <c r="E4">
        <v>52.48</v>
      </c>
      <c r="G4">
        <v>5</v>
      </c>
    </row>
    <row r="5" spans="1:11" x14ac:dyDescent="0.35">
      <c r="A5" t="s">
        <v>170</v>
      </c>
      <c r="C5">
        <v>1</v>
      </c>
      <c r="D5">
        <v>699</v>
      </c>
      <c r="E5">
        <v>55.113999999999997</v>
      </c>
      <c r="G5">
        <v>5</v>
      </c>
    </row>
    <row r="6" spans="1:11" x14ac:dyDescent="0.35">
      <c r="A6" t="s">
        <v>163</v>
      </c>
      <c r="C6">
        <v>3</v>
      </c>
      <c r="D6">
        <v>599</v>
      </c>
      <c r="E6">
        <v>54.857999999999997</v>
      </c>
      <c r="G6">
        <v>5</v>
      </c>
    </row>
    <row r="7" spans="1:11" x14ac:dyDescent="0.35">
      <c r="A7" t="s">
        <v>115</v>
      </c>
      <c r="C7">
        <v>1</v>
      </c>
      <c r="D7">
        <v>1099</v>
      </c>
      <c r="E7">
        <v>62.814</v>
      </c>
      <c r="G7">
        <v>18</v>
      </c>
    </row>
    <row r="8" spans="1:11" x14ac:dyDescent="0.35">
      <c r="A8" t="s">
        <v>157</v>
      </c>
      <c r="C8">
        <v>1</v>
      </c>
      <c r="D8">
        <v>869</v>
      </c>
      <c r="E8">
        <v>57.863999999999997</v>
      </c>
      <c r="G8">
        <v>5</v>
      </c>
    </row>
    <row r="9" spans="1:11" x14ac:dyDescent="0.35">
      <c r="A9" t="s">
        <v>121</v>
      </c>
      <c r="C9">
        <v>3</v>
      </c>
      <c r="D9">
        <v>819</v>
      </c>
      <c r="E9">
        <v>55.292999999999999</v>
      </c>
      <c r="G9">
        <v>5</v>
      </c>
    </row>
    <row r="10" spans="1:11" x14ac:dyDescent="0.35">
      <c r="A10" t="s">
        <v>173</v>
      </c>
      <c r="C10">
        <v>2</v>
      </c>
      <c r="D10">
        <v>1149</v>
      </c>
      <c r="E10">
        <v>52.48</v>
      </c>
      <c r="G10">
        <v>5</v>
      </c>
    </row>
    <row r="11" spans="1:11" x14ac:dyDescent="0.35">
      <c r="A11" t="s">
        <v>176</v>
      </c>
      <c r="C11">
        <v>1</v>
      </c>
      <c r="D11">
        <v>749</v>
      </c>
      <c r="E11">
        <v>55.115000000000002</v>
      </c>
      <c r="G11">
        <v>5</v>
      </c>
    </row>
    <row r="12" spans="1:11" x14ac:dyDescent="0.35">
      <c r="A12" t="s">
        <v>171</v>
      </c>
      <c r="C12">
        <v>1</v>
      </c>
      <c r="D12">
        <v>559</v>
      </c>
      <c r="E12">
        <v>50.430999999999997</v>
      </c>
      <c r="G12">
        <v>5</v>
      </c>
    </row>
    <row r="13" spans="1:11" x14ac:dyDescent="0.35">
      <c r="A13" t="s">
        <v>155</v>
      </c>
      <c r="C13">
        <v>1</v>
      </c>
      <c r="D13">
        <v>999</v>
      </c>
      <c r="E13">
        <v>60.954999999999998</v>
      </c>
      <c r="G13">
        <v>18</v>
      </c>
    </row>
    <row r="14" spans="1:11" x14ac:dyDescent="0.35">
      <c r="A14" t="s">
        <v>91</v>
      </c>
      <c r="C14">
        <v>2</v>
      </c>
      <c r="D14">
        <v>1159</v>
      </c>
      <c r="E14">
        <v>55.304000000000002</v>
      </c>
      <c r="G14">
        <v>5</v>
      </c>
    </row>
    <row r="15" spans="1:11" x14ac:dyDescent="0.35">
      <c r="A15" t="s">
        <v>76</v>
      </c>
      <c r="C15">
        <v>1</v>
      </c>
      <c r="D15">
        <v>979</v>
      </c>
      <c r="E15">
        <v>57.241</v>
      </c>
      <c r="G15">
        <v>5</v>
      </c>
    </row>
    <row r="16" spans="1:11" x14ac:dyDescent="0.35">
      <c r="A16" t="s">
        <v>78</v>
      </c>
      <c r="C16">
        <v>1</v>
      </c>
      <c r="D16">
        <v>1549</v>
      </c>
      <c r="E16">
        <v>54.381999999999998</v>
      </c>
      <c r="G16">
        <v>5</v>
      </c>
    </row>
    <row r="17" spans="1:7" x14ac:dyDescent="0.35">
      <c r="A17" t="s">
        <v>139</v>
      </c>
      <c r="C17">
        <v>2</v>
      </c>
      <c r="D17">
        <v>769</v>
      </c>
      <c r="E17">
        <v>57.838999999999999</v>
      </c>
      <c r="G17">
        <v>5</v>
      </c>
    </row>
    <row r="18" spans="1:7" x14ac:dyDescent="0.35">
      <c r="A18" t="s">
        <v>165</v>
      </c>
      <c r="C18">
        <v>2</v>
      </c>
      <c r="D18">
        <v>799</v>
      </c>
      <c r="E18">
        <v>53.747</v>
      </c>
      <c r="G18">
        <v>5</v>
      </c>
    </row>
    <row r="19" spans="1:7" x14ac:dyDescent="0.35">
      <c r="A19" t="s">
        <v>160</v>
      </c>
      <c r="C19">
        <v>2</v>
      </c>
      <c r="D19">
        <v>669</v>
      </c>
      <c r="E19">
        <v>53.098999999999997</v>
      </c>
      <c r="G19">
        <v>5</v>
      </c>
    </row>
    <row r="20" spans="1:7" x14ac:dyDescent="0.35">
      <c r="A20" t="s">
        <v>168</v>
      </c>
      <c r="C20">
        <v>1</v>
      </c>
      <c r="D20">
        <v>899</v>
      </c>
      <c r="E20">
        <v>53.79</v>
      </c>
      <c r="G20">
        <v>5</v>
      </c>
    </row>
    <row r="21" spans="1:7" x14ac:dyDescent="0.35">
      <c r="A21" t="s">
        <v>172</v>
      </c>
      <c r="C21">
        <v>1</v>
      </c>
      <c r="D21">
        <v>699</v>
      </c>
      <c r="E21">
        <v>51.652000000000001</v>
      </c>
      <c r="G21">
        <v>5</v>
      </c>
    </row>
    <row r="22" spans="1:7" x14ac:dyDescent="0.35">
      <c r="A22" t="s">
        <v>166</v>
      </c>
      <c r="C22">
        <v>1</v>
      </c>
      <c r="D22">
        <v>1499</v>
      </c>
      <c r="E22">
        <v>52.161000000000001</v>
      </c>
      <c r="G22">
        <v>5</v>
      </c>
    </row>
    <row r="23" spans="1:7" x14ac:dyDescent="0.35">
      <c r="A23" t="s">
        <v>75</v>
      </c>
      <c r="C23">
        <v>1</v>
      </c>
      <c r="D23">
        <v>1259</v>
      </c>
      <c r="E23">
        <v>63.052</v>
      </c>
      <c r="G23">
        <v>18</v>
      </c>
    </row>
    <row r="24" spans="1:7" x14ac:dyDescent="0.35">
      <c r="A24" t="s">
        <v>304</v>
      </c>
      <c r="C24">
        <v>34</v>
      </c>
      <c r="D24">
        <v>0</v>
      </c>
      <c r="E24">
        <v>0</v>
      </c>
      <c r="G24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B19" sqref="B19"/>
    </sheetView>
  </sheetViews>
  <sheetFormatPr defaultRowHeight="14.5" x14ac:dyDescent="0.35"/>
  <cols>
    <col min="7" max="7" width="17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1"/>
  <sheetViews>
    <sheetView tabSelected="1" workbookViewId="0">
      <selection activeCell="B56" sqref="B56"/>
    </sheetView>
  </sheetViews>
  <sheetFormatPr defaultRowHeight="14.5" x14ac:dyDescent="0.35"/>
  <cols>
    <col min="1" max="2" width="42.90625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0.47619999999999996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  <row r="51" spans="1:6" x14ac:dyDescent="0.35">
      <c r="A51" t="s">
        <v>305</v>
      </c>
      <c r="B51" t="s">
        <v>305</v>
      </c>
      <c r="C51">
        <v>0.47619999999999996</v>
      </c>
      <c r="D51">
        <v>0</v>
      </c>
      <c r="E51">
        <v>0.53390000000000004</v>
      </c>
      <c r="F51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Smartivity IT</cp:lastModifiedBy>
  <dcterms:created xsi:type="dcterms:W3CDTF">2026-08-17T07:54:12Z</dcterms:created>
  <dcterms:modified xsi:type="dcterms:W3CDTF">2026-09-01T06:56:32Z</dcterms:modified>
</cp:coreProperties>
</file>