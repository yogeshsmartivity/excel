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AE2595F3-5BA8-4F86-9412-B1CA0DE30529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1" l="1"/>
  <c r="C51" i="1"/>
  <c r="I50" i="1"/>
  <c r="H50" i="1"/>
  <c r="G50" i="1"/>
  <c r="K50" i="1" s="1"/>
  <c r="L50" i="1" s="1"/>
  <c r="F50" i="1"/>
  <c r="M50" i="1" s="1"/>
  <c r="K49" i="1"/>
  <c r="I49" i="1"/>
  <c r="H49" i="1"/>
  <c r="G49" i="1"/>
  <c r="L49" i="1" s="1"/>
  <c r="F49" i="1"/>
  <c r="M49" i="1" s="1"/>
  <c r="I48" i="1"/>
  <c r="H48" i="1"/>
  <c r="G48" i="1"/>
  <c r="F48" i="1"/>
  <c r="M48" i="1" s="1"/>
  <c r="I47" i="1"/>
  <c r="H47" i="1"/>
  <c r="G47" i="1"/>
  <c r="F47" i="1"/>
  <c r="M47" i="1" s="1"/>
  <c r="I46" i="1"/>
  <c r="H46" i="1"/>
  <c r="G46" i="1"/>
  <c r="F46" i="1"/>
  <c r="M46" i="1" s="1"/>
  <c r="I45" i="1"/>
  <c r="H45" i="1"/>
  <c r="G45" i="1"/>
  <c r="K45" i="1" s="1"/>
  <c r="L45" i="1" s="1"/>
  <c r="F45" i="1"/>
  <c r="M45" i="1" s="1"/>
  <c r="M44" i="1"/>
  <c r="L44" i="1"/>
  <c r="K44" i="1"/>
  <c r="I44" i="1"/>
  <c r="H44" i="1"/>
  <c r="G44" i="1"/>
  <c r="F44" i="1"/>
  <c r="M43" i="1"/>
  <c r="L43" i="1"/>
  <c r="K43" i="1"/>
  <c r="I43" i="1"/>
  <c r="H43" i="1"/>
  <c r="G43" i="1"/>
  <c r="F43" i="1"/>
  <c r="L42" i="1"/>
  <c r="K42" i="1"/>
  <c r="I42" i="1"/>
  <c r="H42" i="1"/>
  <c r="G42" i="1"/>
  <c r="F42" i="1"/>
  <c r="M42" i="1" s="1"/>
  <c r="K41" i="1"/>
  <c r="I41" i="1"/>
  <c r="H41" i="1"/>
  <c r="G41" i="1"/>
  <c r="L41" i="1" s="1"/>
  <c r="F41" i="1"/>
  <c r="M41" i="1" s="1"/>
  <c r="I40" i="1"/>
  <c r="H40" i="1"/>
  <c r="G40" i="1"/>
  <c r="F40" i="1"/>
  <c r="M40" i="1" s="1"/>
  <c r="I39" i="1"/>
  <c r="H39" i="1"/>
  <c r="G39" i="1"/>
  <c r="F39" i="1"/>
  <c r="M39" i="1" s="1"/>
  <c r="I38" i="1"/>
  <c r="H38" i="1"/>
  <c r="G38" i="1"/>
  <c r="F38" i="1"/>
  <c r="M38" i="1" s="1"/>
  <c r="I37" i="1"/>
  <c r="H37" i="1"/>
  <c r="G37" i="1"/>
  <c r="K37" i="1" s="1"/>
  <c r="L37" i="1" s="1"/>
  <c r="F37" i="1"/>
  <c r="M37" i="1" s="1"/>
  <c r="M36" i="1"/>
  <c r="L36" i="1"/>
  <c r="K36" i="1"/>
  <c r="I36" i="1"/>
  <c r="H36" i="1"/>
  <c r="G36" i="1"/>
  <c r="F36" i="1"/>
  <c r="M35" i="1"/>
  <c r="L35" i="1"/>
  <c r="K35" i="1"/>
  <c r="I35" i="1"/>
  <c r="H35" i="1"/>
  <c r="G35" i="1"/>
  <c r="F35" i="1"/>
  <c r="L34" i="1"/>
  <c r="K34" i="1"/>
  <c r="I34" i="1"/>
  <c r="H34" i="1"/>
  <c r="G34" i="1"/>
  <c r="F34" i="1"/>
  <c r="M34" i="1" s="1"/>
  <c r="K33" i="1"/>
  <c r="I33" i="1"/>
  <c r="H33" i="1"/>
  <c r="G33" i="1"/>
  <c r="L33" i="1" s="1"/>
  <c r="F33" i="1"/>
  <c r="M33" i="1" s="1"/>
  <c r="I32" i="1"/>
  <c r="H32" i="1"/>
  <c r="G32" i="1"/>
  <c r="F32" i="1"/>
  <c r="M32" i="1" s="1"/>
  <c r="I31" i="1"/>
  <c r="H31" i="1"/>
  <c r="G31" i="1"/>
  <c r="F31" i="1"/>
  <c r="M31" i="1" s="1"/>
  <c r="I30" i="1"/>
  <c r="H30" i="1"/>
  <c r="G30" i="1"/>
  <c r="F30" i="1"/>
  <c r="M30" i="1" s="1"/>
  <c r="I29" i="1"/>
  <c r="H29" i="1"/>
  <c r="G29" i="1"/>
  <c r="K29" i="1" s="1"/>
  <c r="L29" i="1" s="1"/>
  <c r="F29" i="1"/>
  <c r="M29" i="1" s="1"/>
  <c r="M28" i="1"/>
  <c r="L28" i="1"/>
  <c r="K28" i="1"/>
  <c r="I28" i="1"/>
  <c r="H28" i="1"/>
  <c r="G28" i="1"/>
  <c r="F28" i="1"/>
  <c r="M27" i="1"/>
  <c r="K27" i="1"/>
  <c r="L27" i="1" s="1"/>
  <c r="I27" i="1"/>
  <c r="H27" i="1"/>
  <c r="G27" i="1"/>
  <c r="F27" i="1"/>
  <c r="L26" i="1"/>
  <c r="K26" i="1"/>
  <c r="I26" i="1"/>
  <c r="H26" i="1"/>
  <c r="G26" i="1"/>
  <c r="F26" i="1"/>
  <c r="M26" i="1" s="1"/>
  <c r="K25" i="1"/>
  <c r="I25" i="1"/>
  <c r="H25" i="1"/>
  <c r="G25" i="1"/>
  <c r="L25" i="1" s="1"/>
  <c r="F25" i="1"/>
  <c r="M25" i="1" s="1"/>
  <c r="I24" i="1"/>
  <c r="H24" i="1"/>
  <c r="G24" i="1"/>
  <c r="F24" i="1"/>
  <c r="M24" i="1" s="1"/>
  <c r="I23" i="1"/>
  <c r="H23" i="1"/>
  <c r="G23" i="1"/>
  <c r="F23" i="1"/>
  <c r="M23" i="1" s="1"/>
  <c r="I22" i="1"/>
  <c r="H22" i="1"/>
  <c r="G22" i="1"/>
  <c r="F22" i="1"/>
  <c r="M22" i="1" s="1"/>
  <c r="L21" i="1"/>
  <c r="K21" i="1"/>
  <c r="I21" i="1"/>
  <c r="H21" i="1"/>
  <c r="G21" i="1"/>
  <c r="F21" i="1"/>
  <c r="M21" i="1" s="1"/>
  <c r="M20" i="1"/>
  <c r="L20" i="1"/>
  <c r="K20" i="1"/>
  <c r="I20" i="1"/>
  <c r="H20" i="1"/>
  <c r="G20" i="1"/>
  <c r="F20" i="1"/>
  <c r="L19" i="1"/>
  <c r="K19" i="1"/>
  <c r="I19" i="1"/>
  <c r="H19" i="1"/>
  <c r="G19" i="1"/>
  <c r="F19" i="1"/>
  <c r="K18" i="1"/>
  <c r="I18" i="1"/>
  <c r="H18" i="1"/>
  <c r="G18" i="1"/>
  <c r="L18" i="1" s="1"/>
  <c r="F18" i="1"/>
  <c r="M18" i="1" s="1"/>
  <c r="I17" i="1"/>
  <c r="H17" i="1"/>
  <c r="G17" i="1"/>
  <c r="F17" i="1"/>
  <c r="M17" i="1" s="1"/>
  <c r="I16" i="1"/>
  <c r="H16" i="1"/>
  <c r="G16" i="1"/>
  <c r="F16" i="1"/>
  <c r="M16" i="1" s="1"/>
  <c r="I15" i="1"/>
  <c r="H15" i="1"/>
  <c r="G15" i="1"/>
  <c r="F15" i="1"/>
  <c r="M15" i="1" s="1"/>
  <c r="L14" i="1"/>
  <c r="K14" i="1"/>
  <c r="I14" i="1"/>
  <c r="H14" i="1"/>
  <c r="G14" i="1"/>
  <c r="F14" i="1"/>
  <c r="M14" i="1" s="1"/>
  <c r="M13" i="1"/>
  <c r="L13" i="1"/>
  <c r="K13" i="1"/>
  <c r="I13" i="1"/>
  <c r="H13" i="1"/>
  <c r="G13" i="1"/>
  <c r="F13" i="1"/>
  <c r="M12" i="1"/>
  <c r="K12" i="1"/>
  <c r="L12" i="1" s="1"/>
  <c r="I12" i="1"/>
  <c r="H12" i="1"/>
  <c r="G12" i="1"/>
  <c r="F12" i="1"/>
  <c r="L11" i="1"/>
  <c r="K11" i="1"/>
  <c r="I11" i="1"/>
  <c r="H11" i="1"/>
  <c r="G11" i="1"/>
  <c r="F11" i="1"/>
  <c r="M11" i="1" s="1"/>
  <c r="L17" i="1" l="1"/>
  <c r="L31" i="1"/>
  <c r="L15" i="1"/>
  <c r="L39" i="1"/>
  <c r="K17" i="1"/>
  <c r="K24" i="1"/>
  <c r="L24" i="1" s="1"/>
  <c r="K32" i="1"/>
  <c r="L32" i="1" s="1"/>
  <c r="K40" i="1"/>
  <c r="L40" i="1" s="1"/>
  <c r="K48" i="1"/>
  <c r="L48" i="1" s="1"/>
  <c r="K16" i="1"/>
  <c r="L16" i="1" s="1"/>
  <c r="K23" i="1"/>
  <c r="K51" i="1" s="1"/>
  <c r="K31" i="1"/>
  <c r="K39" i="1"/>
  <c r="K47" i="1"/>
  <c r="L47" i="1" s="1"/>
  <c r="K15" i="1"/>
  <c r="K22" i="1"/>
  <c r="L22" i="1" s="1"/>
  <c r="K30" i="1"/>
  <c r="L30" i="1" s="1"/>
  <c r="K38" i="1"/>
  <c r="L38" i="1" s="1"/>
  <c r="K46" i="1"/>
  <c r="L46" i="1" s="1"/>
  <c r="L51" i="1" l="1"/>
  <c r="L23" i="1"/>
</calcChain>
</file>

<file path=xl/sharedStrings.xml><?xml version="1.0" encoding="utf-8"?>
<sst xmlns="http://schemas.openxmlformats.org/spreadsheetml/2006/main" count="636" uniqueCount="300">
  <si>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</si>
  <si>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</si>
  <si>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</si>
  <si>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</si>
  <si>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</si>
  <si>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</si>
  <si>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</si>
  <si>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</si>
  <si>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</si>
  <si>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</si>
  <si>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</si>
  <si>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</si>
  <si>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</si>
  <si>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</si>
  <si>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</si>
  <si>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</si>
  <si>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</si>
  <si>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</si>
  <si>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</si>
  <si>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</si>
  <si>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</si>
  <si>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</si>
  <si>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</si>
  <si>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</si>
  <si>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</si>
  <si>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</si>
  <si>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</si>
  <si>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</si>
  <si>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</si>
  <si>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</si>
  <si>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</si>
  <si>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</si>
  <si>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</si>
  <si>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</si>
  <si>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</si>
  <si>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</si>
  <si>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</si>
  <si>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</si>
  <si>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</si>
  <si>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</si>
  <si>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</si>
  <si>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</si>
  <si>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</si>
  <si>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</si>
  <si>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</si>
  <si>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</si>
  <si>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</si>
  <si>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</si>
  <si>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</si>
  <si>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</si>
  <si>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</si>
  <si>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</si>
  <si>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</si>
  <si>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</si>
  <si>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</si>
  <si>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</si>
  <si>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</si>
  <si>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</si>
  <si>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</si>
  <si>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</si>
  <si>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</si>
  <si>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</si>
  <si>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</si>
  <si>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</si>
  <si>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</si>
  <si>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</si>
  <si>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</si>
  <si>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</si>
  <si>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</si>
  <si>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</si>
  <si>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</si>
  <si>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</si>
  <si>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</si>
  <si>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</si>
  <si>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</si>
  <si>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</si>
  <si>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</si>
  <si>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</si>
  <si>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</si>
  <si>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</si>
  <si>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</si>
  <si>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</si>
  <si>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</si>
  <si>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</si>
  <si>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</si>
  <si>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</si>
  <si>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</si>
  <si>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</si>
  <si>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</si>
  <si>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</si>
  <si>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</si>
  <si>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</si>
  <si>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</si>
  <si>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</si>
  <si>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</si>
  <si>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</si>
  <si>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</si>
  <si>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</si>
  <si>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</si>
  <si>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</si>
  <si>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</si>
  <si>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</si>
  <si>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</si>
  <si>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</si>
  <si>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</si>
  <si>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</si>
  <si>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</si>
  <si>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</si>
  <si>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</si>
  <si>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</si>
  <si>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</si>
  <si>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</si>
  <si>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</si>
  <si>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</si>
  <si>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</si>
  <si>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</si>
  <si>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</si>
  <si>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</si>
  <si>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</si>
  <si>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</si>
  <si>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</si>
  <si>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</si>
  <si>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</si>
  <si>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</si>
  <si>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</si>
  <si>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</si>
  <si>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</si>
  <si>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</si>
  <si>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</si>
  <si>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</si>
  <si>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</si>
  <si>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</si>
  <si>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</si>
  <si>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</si>
  <si>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</si>
  <si>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</si>
  <si>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</si>
  <si>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</si>
  <si>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</si>
  <si>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</si>
  <si>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</si>
  <si>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</si>
  <si>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</si>
  <si>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</si>
  <si>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</si>
  <si>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</si>
  <si>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</si>
  <si>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</si>
  <si>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</si>
  <si>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</si>
  <si>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</si>
  <si>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</si>
  <si>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</si>
  <si>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</si>
  <si>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</si>
  <si>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</si>
  <si>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</si>
  <si>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</si>
  <si>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</si>
  <si>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</si>
  <si>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</si>
  <si>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</si>
  <si>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</si>
  <si>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</si>
  <si>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</si>
  <si>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</si>
  <si>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</si>
  <si>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</si>
  <si>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</si>
  <si>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</si>
  <si>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</si>
  <si>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</si>
  <si>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</si>
  <si>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</si>
  <si>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</si>
  <si>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</si>
  <si>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</si>
  <si>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</si>
  <si>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</si>
  <si>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</si>
  <si>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</si>
  <si>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</si>
  <si>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</si>
  <si>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</si>
  <si>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</si>
  <si>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</si>
  <si>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</si>
  <si>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</si>
  <si>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</si>
  <si>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</si>
  <si>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</si>
  <si>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</si>
  <si>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</si>
  <si>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</si>
  <si>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</si>
  <si>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</si>
  <si>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</si>
  <si>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</si>
  <si>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</si>
  <si>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</si>
  <si>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</si>
  <si>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</si>
  <si>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</si>
  <si>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</si>
  <si>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</si>
  <si>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</si>
  <si>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</si>
  <si>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</si>
  <si>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</si>
  <si>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</si>
  <si>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</si>
  <si>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</si>
  <si>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</si>
  <si>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</si>
  <si>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</si>
  <si>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</si>
  <si>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</si>
  <si>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</si>
  <si>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</si>
  <si>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</si>
  <si>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</si>
  <si>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</si>
  <si>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</si>
  <si>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</si>
  <si>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</si>
  <si>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</si>
  <si>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</si>
  <si>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</si>
  <si>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</si>
  <si>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</si>
  <si>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</si>
  <si>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</si>
  <si>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</si>
  <si>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</si>
  <si>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</si>
  <si>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</si>
  <si>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</si>
  <si>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</si>
  <si>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</si>
  <si>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</si>
  <si>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</si>
  <si>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</si>
  <si>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</si>
  <si>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</si>
  <si>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</si>
  <si>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</si>
  <si>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</si>
  <si>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</si>
  <si>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</si>
  <si>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</si>
  <si>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</si>
  <si>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</si>
  <si>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</si>
  <si>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</si>
  <si>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</si>
  <si>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</si>
  <si>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HIMALAYA BOOK WORLD</t>
  </si>
  <si>
    <t>Himalya.pdf</t>
  </si>
  <si>
    <t>Multiplication Machine</t>
  </si>
  <si>
    <t>Smartivity mechanical hand</t>
  </si>
  <si>
    <t>Smartivity microscope</t>
  </si>
  <si>
    <t>Smartivity Globetrotters</t>
  </si>
  <si>
    <t>Smartivity Pirate's Telescope</t>
  </si>
  <si>
    <t>Smartivity Foosball</t>
  </si>
  <si>
    <t>Smartivity Space Shooters</t>
  </si>
  <si>
    <t>Smartivity Mega Science kit</t>
  </si>
  <si>
    <t>Mini Football</t>
  </si>
  <si>
    <t>✅ Auto-matched SKU (PO: 'SMRT1215')</t>
  </si>
  <si>
    <t>Electro Play Lab</t>
  </si>
  <si>
    <t>Magic of Science</t>
  </si>
  <si>
    <t>Multibuilds - Spin-n-Go Kit</t>
  </si>
  <si>
    <t>Motor Gadgets</t>
  </si>
  <si>
    <t>Rocket Launcher</t>
  </si>
  <si>
    <t>Mega Crystal Earth Science Kit</t>
  </si>
  <si>
    <t>Mini Golf</t>
  </si>
  <si>
    <t>Mini Tennis</t>
  </si>
  <si>
    <t>Table Lamp</t>
  </si>
  <si>
    <t>Missile Truck</t>
  </si>
  <si>
    <t>Interactive Clock</t>
  </si>
  <si>
    <t>Solar System</t>
  </si>
  <si>
    <t>Airplanes Launchers</t>
  </si>
  <si>
    <t>Ultimate Marble City</t>
  </si>
  <si>
    <t>Interactive Human Body</t>
  </si>
  <si>
    <t>Turbo Loop Track</t>
  </si>
  <si>
    <t>Foil Magic - Creative Jewelry Studio</t>
  </si>
  <si>
    <t>Foil Magic - Princess Fairy Tales</t>
  </si>
  <si>
    <t>WINDOW ART Dress-Up</t>
  </si>
  <si>
    <t>Foil Magic - Animal Wisdom Tales</t>
  </si>
  <si>
    <t>WINDOW ART Keycharms</t>
  </si>
  <si>
    <t>POKE 'N' CREATE - Jungle Animal Kingdom</t>
  </si>
  <si>
    <t>POKE 'N' CREATE - Princess Wonderland</t>
  </si>
  <si>
    <t>Poke 'n' Create : Flower Making Kit</t>
  </si>
  <si>
    <t>POM POM MAGNET CRAFTS - Princess and Unicorn Magicland</t>
  </si>
  <si>
    <t>Little Princess Craft Box</t>
  </si>
  <si>
    <t>POM POM MAGNET CRAFTS - Adorable Animals</t>
  </si>
  <si>
    <t>Yummy Dessert Craft Box</t>
  </si>
  <si>
    <t>Squeegee Art Coaster Kit</t>
  </si>
  <si>
    <t>Squeegee Art Painting Kit "</t>
  </si>
  <si>
    <t>SNIP 'N' STYLE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</si>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</sst>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 applyAlignment="1">
      <alignment horizontal="center"/>
    </xf>
    <xf numFmtId="164" fontId="2" fillId="6" borderId="2" xfId="0" applyNumberFormat="1" applyFont="1" applyFill="1" applyBorder="1"/>
    <xf numFmtId="0" fontId="2" fillId="6" borderId="2" xfId="0" applyFont="1" applyFill="1" applyBorder="1"/>
    <xf numFmtId="10" fontId="2" fillId="6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164" fontId="0" fillId="0" borderId="0" xfId="0" applyNumberFormat="1" applyFont="1" applyFill="1"/>
    <xf numFmtId="10" fontId="0" fillId="0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/>
    </xf>
    <xf numFmtId="164" fontId="1" fillId="0" borderId="2" xfId="0" applyNumberFormat="1" applyFont="1" applyFill="1" applyBorder="1"/>
    <xf numFmtId="0" fontId="1" fillId="0" borderId="2" xfId="0" applyFont="1" applyFill="1" applyBorder="1"/>
    <xf numFmtId="10" fontId="1" fillId="0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14" t="s">
        <v>250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4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ht="7.95" customHeight="1" x14ac:dyDescent="0.3"/>
    <row r="4" spans="1:14" ht="22.05" customHeight="1" x14ac:dyDescent="0.3">
      <c r="B4" s="5" t="s">
        <v>237</v>
      </c>
      <c r="C4" s="13" t="s">
        <v>256</v>
      </c>
      <c r="D4" s="13"/>
      <c r="E4" s="13"/>
      <c r="F4" s="13"/>
    </row>
    <row r="5" spans="1:14" ht="22.05" customHeight="1" x14ac:dyDescent="0.3">
      <c r="B5" s="5" t="s">
        <v>238</v>
      </c>
      <c r="C5" s="12" t="s">
        <v>257</v>
      </c>
      <c r="D5" s="12"/>
      <c r="E5" s="12"/>
      <c r="F5" s="12"/>
    </row>
    <row r="6" spans="1:14" ht="7.95" customHeight="1" x14ac:dyDescent="0.3"/>
    <row r="10" spans="1:14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">
      <c r="A11" s="16" t="s">
        <v>55</v>
      </c>
      <c r="B11" s="16" t="s">
        <v>258</v>
      </c>
      <c r="C11" s="17">
        <v>1</v>
      </c>
      <c r="D11" s="17">
        <v>0</v>
      </c>
      <c r="E11" s="18">
        <v>529</v>
      </c>
      <c r="F11" s="16" t="str">
        <f>IF(ISBLANK(A11), "", IFERROR(INDEX('Price list'!B:B, MATCH(LEFT(UPPER(SUBSTITUTE(A11, " ", "")), 8) &amp; "*", 'Price list'!F:F, 0)), ""))</f>
        <v>SMRT1098</v>
      </c>
      <c r="G11" s="18">
        <f>IF(ISBLANK(A11), "", IFERROR(INDEX('Price list'!C:C, MATCH(LEFT(UPPER(SUBSTITUTE(A11, " ", "")), 8) &amp; "*", 'Price list'!F:F, 0)), 0))</f>
        <v>529</v>
      </c>
      <c r="H11" s="19">
        <f>IF(ISBLANK(A11), "", IFERROR(INDEX('Price list'!E:E, MATCH(LEFT(UPPER(SUBSTITUTE(A11, " ", "")), 8) &amp; "*", 'Price list'!F:F, 0)), 0))</f>
        <v>0.05</v>
      </c>
      <c r="I11" s="17">
        <f>IF(ISBLANK(A11), "", IFERROR(INDEX('Price list'!D:D, MATCH(LEFT(UPPER(SUBSTITUTE(A11, " ", "")), 8) &amp; "*", 'Price list'!F:F, 0)), ""))</f>
        <v>95030020</v>
      </c>
      <c r="J11" s="19"/>
      <c r="K11" s="18">
        <f>IF(ISBLANK(A11), "", ROUND(G11*C11*J11,2))</f>
        <v>0</v>
      </c>
      <c r="L11" s="18">
        <f>IF(ISBLANK(A11), "", (G11*C11)-K11)</f>
        <v>529</v>
      </c>
      <c r="M11" s="16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16"/>
    </row>
    <row r="12" spans="1:14" x14ac:dyDescent="0.3">
      <c r="A12" s="16" t="s">
        <v>74</v>
      </c>
      <c r="B12" s="16" t="s">
        <v>259</v>
      </c>
      <c r="C12" s="17">
        <v>1</v>
      </c>
      <c r="D12" s="17">
        <v>0</v>
      </c>
      <c r="E12" s="18">
        <v>1249</v>
      </c>
      <c r="F12" s="16" t="str">
        <f>IF(ISBLANK(A12), "", IFERROR(INDEX('Price list'!B:B, MATCH(LEFT(UPPER(SUBSTITUTE(A12, " ", "")), 8) &amp; "*", 'Price list'!F:F, 0)), ""))</f>
        <v>SMRT1135</v>
      </c>
      <c r="G12" s="18">
        <f>IF(ISBLANK(A12), "", IFERROR(INDEX('Price list'!C:C, MATCH(LEFT(UPPER(SUBSTITUTE(A12, " ", "")), 8) &amp; "*", 'Price list'!F:F, 0)), 0))</f>
        <v>1249</v>
      </c>
      <c r="H12" s="19">
        <f>IF(ISBLANK(A12), "", IFERROR(INDEX('Price list'!E:E, MATCH(LEFT(UPPER(SUBSTITUTE(A12, " ", "")), 8) &amp; "*", 'Price list'!F:F, 0)), 0))</f>
        <v>0.05</v>
      </c>
      <c r="I12" s="17">
        <f>IF(ISBLANK(A12), "", IFERROR(INDEX('Price list'!D:D, MATCH(LEFT(UPPER(SUBSTITUTE(A12, " ", "")), 8) &amp; "*", 'Price list'!F:F, 0)), ""))</f>
        <v>95030020</v>
      </c>
      <c r="J12" s="19"/>
      <c r="K12" s="18">
        <f>IF(ISBLANK(A12), "", ROUND(G12*C12*J12,2))</f>
        <v>0</v>
      </c>
      <c r="L12" s="18">
        <f>IF(ISBLANK(A12), "", (G12*C12)-K12)</f>
        <v>1249</v>
      </c>
      <c r="M12" s="16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16"/>
    </row>
    <row r="13" spans="1:14" x14ac:dyDescent="0.3">
      <c r="A13" s="16" t="s">
        <v>75</v>
      </c>
      <c r="B13" s="16" t="s">
        <v>260</v>
      </c>
      <c r="C13" s="17">
        <v>1</v>
      </c>
      <c r="D13" s="17">
        <v>0</v>
      </c>
      <c r="E13" s="18">
        <v>1259</v>
      </c>
      <c r="F13" s="16" t="str">
        <f>IF(ISBLANK(A13), "", IFERROR(INDEX('Price list'!B:B, MATCH(LEFT(UPPER(SUBSTITUTE(A13, " ", "")), 8) &amp; "*", 'Price list'!F:F, 0)), ""))</f>
        <v>SMRT1139-18</v>
      </c>
      <c r="G13" s="18">
        <f>IF(ISBLANK(A13), "", IFERROR(INDEX('Price list'!C:C, MATCH(LEFT(UPPER(SUBSTITUTE(A13, " ", "")), 8) &amp; "*", 'Price list'!F:F, 0)), 0))</f>
        <v>1259</v>
      </c>
      <c r="H13" s="19">
        <f>IF(ISBLANK(A13), "", IFERROR(INDEX('Price list'!E:E, MATCH(LEFT(UPPER(SUBSTITUTE(A13, " ", "")), 8) &amp; "*", 'Price list'!F:F, 0)), 0))</f>
        <v>0.18</v>
      </c>
      <c r="I13" s="17">
        <f>IF(ISBLANK(A13), "", IFERROR(INDEX('Price list'!D:D, MATCH(LEFT(UPPER(SUBSTITUTE(A13, " ", "")), 8) &amp; "*", 'Price list'!F:F, 0)), ""))</f>
        <v>95030010</v>
      </c>
      <c r="J13" s="19"/>
      <c r="K13" s="18">
        <f>IF(ISBLANK(A13), "", ROUND(G13*C13*J13,2))</f>
        <v>0</v>
      </c>
      <c r="L13" s="18">
        <f>IF(ISBLANK(A13), "", (G13*C13)-K13)</f>
        <v>1259</v>
      </c>
      <c r="M13" s="16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16"/>
    </row>
    <row r="14" spans="1:14" x14ac:dyDescent="0.3">
      <c r="A14" s="16" t="s">
        <v>78</v>
      </c>
      <c r="B14" s="16" t="s">
        <v>261</v>
      </c>
      <c r="C14" s="17">
        <v>2</v>
      </c>
      <c r="D14" s="17">
        <v>0</v>
      </c>
      <c r="E14" s="18">
        <v>1549</v>
      </c>
      <c r="F14" s="16" t="str">
        <f>IF(ISBLANK(A14), "", IFERROR(INDEX('Price list'!B:B, MATCH(LEFT(UPPER(SUBSTITUTE(A14, " ", "")), 8) &amp; "*", 'Price list'!F:F, 0)), ""))</f>
        <v>SMRT1165</v>
      </c>
      <c r="G14" s="18">
        <f>IF(ISBLANK(A14), "", IFERROR(INDEX('Price list'!C:C, MATCH(LEFT(UPPER(SUBSTITUTE(A14, " ", "")), 8) &amp; "*", 'Price list'!F:F, 0)), 0))</f>
        <v>1549</v>
      </c>
      <c r="H14" s="19">
        <f>IF(ISBLANK(A14), "", IFERROR(INDEX('Price list'!E:E, MATCH(LEFT(UPPER(SUBSTITUTE(A14, " ", "")), 8) &amp; "*", 'Price list'!F:F, 0)), 0))</f>
        <v>0.05</v>
      </c>
      <c r="I14" s="17">
        <f>IF(ISBLANK(A14), "", IFERROR(INDEX('Price list'!D:D, MATCH(LEFT(UPPER(SUBSTITUTE(A14, " ", "")), 8) &amp; "*", 'Price list'!F:F, 0)), ""))</f>
        <v>95030020</v>
      </c>
      <c r="J14" s="19"/>
      <c r="K14" s="18">
        <f>IF(ISBLANK(A14), "", ROUND(G14*C14*J14,2))</f>
        <v>0</v>
      </c>
      <c r="L14" s="18">
        <f>IF(ISBLANK(A14), "", (G14*C14)-K14)</f>
        <v>3098</v>
      </c>
      <c r="M14" s="16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16"/>
    </row>
    <row r="15" spans="1:14" x14ac:dyDescent="0.3">
      <c r="A15" s="16" t="s">
        <v>81</v>
      </c>
      <c r="B15" s="16" t="s">
        <v>262</v>
      </c>
      <c r="C15" s="17">
        <v>1</v>
      </c>
      <c r="D15" s="17">
        <v>0</v>
      </c>
      <c r="E15" s="18">
        <v>849</v>
      </c>
      <c r="F15" s="16" t="str">
        <f>IF(ISBLANK(A15), "", IFERROR(INDEX('Price list'!B:B, MATCH(LEFT(UPPER(SUBSTITUTE(A15, " ", "")), 8) &amp; "*", 'Price list'!F:F, 0)), ""))</f>
        <v>SMRT1174</v>
      </c>
      <c r="G15" s="18">
        <f>IF(ISBLANK(A15), "", IFERROR(INDEX('Price list'!C:C, MATCH(LEFT(UPPER(SUBSTITUTE(A15, " ", "")), 8) &amp; "*", 'Price list'!F:F, 0)), 0))</f>
        <v>849</v>
      </c>
      <c r="H15" s="19">
        <f>IF(ISBLANK(A15), "", IFERROR(INDEX('Price list'!E:E, MATCH(LEFT(UPPER(SUBSTITUTE(A15, " ", "")), 8) &amp; "*", 'Price list'!F:F, 0)), 0))</f>
        <v>0.05</v>
      </c>
      <c r="I15" s="17">
        <f>IF(ISBLANK(A15), "", IFERROR(INDEX('Price list'!D:D, MATCH(LEFT(UPPER(SUBSTITUTE(A15, " ", "")), 8) &amp; "*", 'Price list'!F:F, 0)), ""))</f>
        <v>95030020</v>
      </c>
      <c r="J15" s="19"/>
      <c r="K15" s="18">
        <f>IF(ISBLANK(A15), "", ROUND(G15*C15*J15,2))</f>
        <v>0</v>
      </c>
      <c r="L15" s="18">
        <f>IF(ISBLANK(A15), "", (G15*C15)-K15)</f>
        <v>849</v>
      </c>
      <c r="M15" s="16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16"/>
    </row>
    <row r="16" spans="1:14" x14ac:dyDescent="0.3">
      <c r="A16" s="16" t="s">
        <v>89</v>
      </c>
      <c r="B16" s="16" t="s">
        <v>263</v>
      </c>
      <c r="C16" s="17">
        <v>1</v>
      </c>
      <c r="D16" s="17">
        <v>0</v>
      </c>
      <c r="E16" s="18">
        <v>1299</v>
      </c>
      <c r="F16" s="16" t="str">
        <f>IF(ISBLANK(A16), "", IFERROR(INDEX('Price list'!B:B, MATCH(LEFT(UPPER(SUBSTITUTE(A16, " ", "")), 8) &amp; "*", 'Price list'!F:F, 0)), ""))</f>
        <v>SMRT1182</v>
      </c>
      <c r="G16" s="18">
        <f>IF(ISBLANK(A16), "", IFERROR(INDEX('Price list'!C:C, MATCH(LEFT(UPPER(SUBSTITUTE(A16, " ", "")), 8) &amp; "*", 'Price list'!F:F, 0)), 0))</f>
        <v>1299</v>
      </c>
      <c r="H16" s="19">
        <f>IF(ISBLANK(A16), "", IFERROR(INDEX('Price list'!E:E, MATCH(LEFT(UPPER(SUBSTITUTE(A16, " ", "")), 8) &amp; "*", 'Price list'!F:F, 0)), 0))</f>
        <v>0.05</v>
      </c>
      <c r="I16" s="17">
        <f>IF(ISBLANK(A16), "", IFERROR(INDEX('Price list'!D:D, MATCH(LEFT(UPPER(SUBSTITUTE(A16, " ", "")), 8) &amp; "*", 'Price list'!F:F, 0)), ""))</f>
        <v>95030020</v>
      </c>
      <c r="J16" s="19"/>
      <c r="K16" s="18">
        <f>IF(ISBLANK(A16), "", ROUND(G16*C16*J16,2))</f>
        <v>0</v>
      </c>
      <c r="L16" s="18">
        <f>IF(ISBLANK(A16), "", (G16*C16)-K16)</f>
        <v>1299</v>
      </c>
      <c r="M16" s="16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16"/>
    </row>
    <row r="17" spans="1:14" x14ac:dyDescent="0.3">
      <c r="A17" s="16" t="s">
        <v>91</v>
      </c>
      <c r="B17" s="16" t="s">
        <v>264</v>
      </c>
      <c r="C17" s="17">
        <v>2</v>
      </c>
      <c r="D17" s="17">
        <v>0</v>
      </c>
      <c r="E17" s="18">
        <v>1159</v>
      </c>
      <c r="F17" s="16" t="str">
        <f>IF(ISBLANK(A17), "", IFERROR(INDEX('Price list'!B:B, MATCH(LEFT(UPPER(SUBSTITUTE(A17, " ", "")), 8) &amp; "*", 'Price list'!F:F, 0)), ""))</f>
        <v>SMRT1184</v>
      </c>
      <c r="G17" s="18">
        <f>IF(ISBLANK(A17), "", IFERROR(INDEX('Price list'!C:C, MATCH(LEFT(UPPER(SUBSTITUTE(A17, " ", "")), 8) &amp; "*", 'Price list'!F:F, 0)), 0))</f>
        <v>1159</v>
      </c>
      <c r="H17" s="19">
        <f>IF(ISBLANK(A17), "", IFERROR(INDEX('Price list'!E:E, MATCH(LEFT(UPPER(SUBSTITUTE(A17, " ", "")), 8) &amp; "*", 'Price list'!F:F, 0)), 0))</f>
        <v>0.05</v>
      </c>
      <c r="I17" s="17">
        <f>IF(ISBLANK(A17), "", IFERROR(INDEX('Price list'!D:D, MATCH(LEFT(UPPER(SUBSTITUTE(A17, " ", "")), 8) &amp; "*", 'Price list'!F:F, 0)), ""))</f>
        <v>95030020</v>
      </c>
      <c r="J17" s="19"/>
      <c r="K17" s="18">
        <f>IF(ISBLANK(A17), "", ROUND(G17*C17*J17,2))</f>
        <v>0</v>
      </c>
      <c r="L17" s="18">
        <f>IF(ISBLANK(A17), "", (G17*C17)-K17)</f>
        <v>2318</v>
      </c>
      <c r="M17" s="16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16"/>
    </row>
    <row r="18" spans="1:14" x14ac:dyDescent="0.3">
      <c r="A18" s="16" t="s">
        <v>98</v>
      </c>
      <c r="B18" s="16" t="s">
        <v>265</v>
      </c>
      <c r="C18" s="17">
        <v>1</v>
      </c>
      <c r="D18" s="17">
        <v>0</v>
      </c>
      <c r="E18" s="18">
        <v>1099</v>
      </c>
      <c r="F18" s="16" t="str">
        <f>IF(ISBLANK(A18), "", IFERROR(INDEX('Price list'!B:B, MATCH(LEFT(UPPER(SUBSTITUTE(A18, " ", "")), 8) &amp; "*", 'Price list'!F:F, 0)), ""))</f>
        <v>SMRT1192</v>
      </c>
      <c r="G18" s="18">
        <f>IF(ISBLANK(A18), "", IFERROR(INDEX('Price list'!C:C, MATCH(LEFT(UPPER(SUBSTITUTE(A18, " ", "")), 8) &amp; "*", 'Price list'!F:F, 0)), 0))</f>
        <v>1099</v>
      </c>
      <c r="H18" s="19">
        <f>IF(ISBLANK(A18), "", IFERROR(INDEX('Price list'!E:E, MATCH(LEFT(UPPER(SUBSTITUTE(A18, " ", "")), 8) &amp; "*", 'Price list'!F:F, 0)), 0))</f>
        <v>0.05</v>
      </c>
      <c r="I18" s="17">
        <f>IF(ISBLANK(A18), "", IFERROR(INDEX('Price list'!D:D, MATCH(LEFT(UPPER(SUBSTITUTE(A18, " ", "")), 8) &amp; "*", 'Price list'!F:F, 0)), ""))</f>
        <v>95030020</v>
      </c>
      <c r="J18" s="19"/>
      <c r="K18" s="18">
        <f>IF(ISBLANK(A18), "", ROUND(G18*C18*J18,2))</f>
        <v>0</v>
      </c>
      <c r="L18" s="18">
        <f>IF(ISBLANK(A18), "", (G18*C18)-K18)</f>
        <v>1099</v>
      </c>
      <c r="M18" s="16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16"/>
    </row>
    <row r="19" spans="1:14" x14ac:dyDescent="0.3">
      <c r="A19" s="16" t="s">
        <v>104</v>
      </c>
      <c r="B19" s="16" t="s">
        <v>266</v>
      </c>
      <c r="C19" s="17">
        <v>2</v>
      </c>
      <c r="D19" s="17">
        <v>0</v>
      </c>
      <c r="E19" s="18">
        <v>1059</v>
      </c>
      <c r="F19" s="16" t="str">
        <f>IF(ISBLANK(A19), "", IFERROR(INDEX('Price list'!B:B, MATCH(LEFT(UPPER(SUBSTITUTE(A19, " ", "")), 8) &amp; "*", 'Price list'!F:F, 0)), ""))</f>
        <v>SMRT1215 (V2)</v>
      </c>
      <c r="G19" s="18">
        <f>IF(ISBLANK(A19), "", IFERROR(INDEX('Price list'!C:C, MATCH(LEFT(UPPER(SUBSTITUTE(A19, " ", "")), 8) &amp; "*", 'Price list'!F:F, 0)), 0))</f>
        <v>1059</v>
      </c>
      <c r="H19" s="19">
        <f>IF(ISBLANK(A19), "", IFERROR(INDEX('Price list'!E:E, MATCH(LEFT(UPPER(SUBSTITUTE(A19, " ", "")), 8) &amp; "*", 'Price list'!F:F, 0)), 0))</f>
        <v>0.05</v>
      </c>
      <c r="I19" s="17">
        <f>IF(ISBLANK(A19), "", IFERROR(INDEX('Price list'!D:D, MATCH(LEFT(UPPER(SUBSTITUTE(A19, " ", "")), 8) &amp; "*", 'Price list'!F:F, 0)), ""))</f>
        <v>95030020</v>
      </c>
      <c r="J19" s="19"/>
      <c r="K19" s="18">
        <f>IF(ISBLANK(A19), "", ROUND(G19*C19*J19,2))</f>
        <v>0</v>
      </c>
      <c r="L19" s="18">
        <f>IF(ISBLANK(A19), "", (G19*C19)-K19)</f>
        <v>2118</v>
      </c>
      <c r="M19" s="16" t="s">
        <v>267</v>
      </c>
      <c r="N19" s="16"/>
    </row>
    <row r="20" spans="1:14" x14ac:dyDescent="0.3">
      <c r="A20" s="16" t="s">
        <v>106</v>
      </c>
      <c r="B20" s="16" t="s">
        <v>268</v>
      </c>
      <c r="C20" s="17">
        <v>2</v>
      </c>
      <c r="D20" s="17">
        <v>0</v>
      </c>
      <c r="E20" s="18">
        <v>1399</v>
      </c>
      <c r="F20" s="16" t="str">
        <f>IF(ISBLANK(A20), "", IFERROR(INDEX('Price list'!B:B, MATCH(LEFT(UPPER(SUBSTITUTE(A20, " ", "")), 8) &amp; "*", 'Price list'!F:F, 0)), ""))</f>
        <v>SMRT1216</v>
      </c>
      <c r="G20" s="18">
        <f>IF(ISBLANK(A20), "", IFERROR(INDEX('Price list'!C:C, MATCH(LEFT(UPPER(SUBSTITUTE(A20, " ", "")), 8) &amp; "*", 'Price list'!F:F, 0)), 0))</f>
        <v>1399</v>
      </c>
      <c r="H20" s="19">
        <f>IF(ISBLANK(A20), "", IFERROR(INDEX('Price list'!E:E, MATCH(LEFT(UPPER(SUBSTITUTE(A20, " ", "")), 8) &amp; "*", 'Price list'!F:F, 0)), 0))</f>
        <v>0.18</v>
      </c>
      <c r="I20" s="17">
        <f>IF(ISBLANK(A20), "", IFERROR(INDEX('Price list'!D:D, MATCH(LEFT(UPPER(SUBSTITUTE(A20, " ", "")), 8) &amp; "*", 'Price list'!F:F, 0)), ""))</f>
        <v>95030010</v>
      </c>
      <c r="J20" s="19"/>
      <c r="K20" s="18">
        <f>IF(ISBLANK(A20), "", ROUND(G20*C20*J20,2))</f>
        <v>0</v>
      </c>
      <c r="L20" s="18">
        <f>IF(ISBLANK(A20), "", (G20*C20)-K20)</f>
        <v>2798</v>
      </c>
      <c r="M20" s="16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16"/>
    </row>
    <row r="21" spans="1:14" x14ac:dyDescent="0.3">
      <c r="A21" s="16" t="s">
        <v>115</v>
      </c>
      <c r="B21" s="16" t="s">
        <v>269</v>
      </c>
      <c r="C21" s="17">
        <v>1</v>
      </c>
      <c r="D21" s="17">
        <v>0</v>
      </c>
      <c r="E21" s="18">
        <v>1099</v>
      </c>
      <c r="F21" s="16" t="str">
        <f>IF(ISBLANK(A21), "", IFERROR(INDEX('Price list'!B:B, MATCH(LEFT(UPPER(SUBSTITUTE(A21, " ", "")), 8) &amp; "*", 'Price list'!F:F, 0)), ""))</f>
        <v>SMRT1230-18</v>
      </c>
      <c r="G21" s="18">
        <f>IF(ISBLANK(A21), "", IFERROR(INDEX('Price list'!C:C, MATCH(LEFT(UPPER(SUBSTITUTE(A21, " ", "")), 8) &amp; "*", 'Price list'!F:F, 0)), 0))</f>
        <v>1099</v>
      </c>
      <c r="H21" s="19">
        <f>IF(ISBLANK(A21), "", IFERROR(INDEX('Price list'!E:E, MATCH(LEFT(UPPER(SUBSTITUTE(A21, " ", "")), 8) &amp; "*", 'Price list'!F:F, 0)), 0))</f>
        <v>0.18</v>
      </c>
      <c r="I21" s="17">
        <f>IF(ISBLANK(A21), "", IFERROR(INDEX('Price list'!D:D, MATCH(LEFT(UPPER(SUBSTITUTE(A21, " ", "")), 8) &amp; "*", 'Price list'!F:F, 0)), ""))</f>
        <v>95030010</v>
      </c>
      <c r="J21" s="19"/>
      <c r="K21" s="18">
        <f>IF(ISBLANK(A21), "", ROUND(G21*C21*J21,2))</f>
        <v>0</v>
      </c>
      <c r="L21" s="18">
        <f>IF(ISBLANK(A21), "", (G21*C21)-K21)</f>
        <v>1099</v>
      </c>
      <c r="M21" s="16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16"/>
    </row>
    <row r="22" spans="1:14" x14ac:dyDescent="0.3">
      <c r="A22" s="16" t="s">
        <v>118</v>
      </c>
      <c r="B22" s="16" t="s">
        <v>270</v>
      </c>
      <c r="C22" s="17">
        <v>1</v>
      </c>
      <c r="D22" s="17">
        <v>0</v>
      </c>
      <c r="E22" s="18">
        <v>1099</v>
      </c>
      <c r="F22" s="16" t="str">
        <f>IF(ISBLANK(A22), "", IFERROR(INDEX('Price list'!B:B, MATCH(LEFT(UPPER(SUBSTITUTE(A22, " ", "")), 8) &amp; "*", 'Price list'!F:F, 0)), ""))</f>
        <v>SMRT1238</v>
      </c>
      <c r="G22" s="18">
        <f>IF(ISBLANK(A22), "", IFERROR(INDEX('Price list'!C:C, MATCH(LEFT(UPPER(SUBSTITUTE(A22, " ", "")), 8) &amp; "*", 'Price list'!F:F, 0)), 0))</f>
        <v>1099</v>
      </c>
      <c r="H22" s="19">
        <f>IF(ISBLANK(A22), "", IFERROR(INDEX('Price list'!E:E, MATCH(LEFT(UPPER(SUBSTITUTE(A22, " ", "")), 8) &amp; "*", 'Price list'!F:F, 0)), 0))</f>
        <v>0.05</v>
      </c>
      <c r="I22" s="17">
        <f>IF(ISBLANK(A22), "", IFERROR(INDEX('Price list'!D:D, MATCH(LEFT(UPPER(SUBSTITUTE(A22, " ", "")), 8) &amp; "*", 'Price list'!F:F, 0)), ""))</f>
        <v>95030020</v>
      </c>
      <c r="J22" s="19"/>
      <c r="K22" s="18">
        <f>IF(ISBLANK(A22), "", ROUND(G22*C22*J22,2))</f>
        <v>0</v>
      </c>
      <c r="L22" s="18">
        <f>IF(ISBLANK(A22), "", (G22*C22)-K22)</f>
        <v>1099</v>
      </c>
      <c r="M22" s="16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16"/>
    </row>
    <row r="23" spans="1:14" x14ac:dyDescent="0.3">
      <c r="A23" s="16" t="s">
        <v>124</v>
      </c>
      <c r="B23" s="16" t="s">
        <v>271</v>
      </c>
      <c r="C23" s="17">
        <v>1</v>
      </c>
      <c r="D23" s="17">
        <v>0</v>
      </c>
      <c r="E23" s="18">
        <v>1699</v>
      </c>
      <c r="F23" s="16" t="str">
        <f>IF(ISBLANK(A23), "", IFERROR(INDEX('Price list'!B:B, MATCH(LEFT(UPPER(SUBSTITUTE(A23, " ", "")), 8) &amp; "*", 'Price list'!F:F, 0)), ""))</f>
        <v>SMRT1245</v>
      </c>
      <c r="G23" s="18">
        <f>IF(ISBLANK(A23), "", IFERROR(INDEX('Price list'!C:C, MATCH(LEFT(UPPER(SUBSTITUTE(A23, " ", "")), 8) &amp; "*", 'Price list'!F:F, 0)), 0))</f>
        <v>1699</v>
      </c>
      <c r="H23" s="19">
        <f>IF(ISBLANK(A23), "", IFERROR(INDEX('Price list'!E:E, MATCH(LEFT(UPPER(SUBSTITUTE(A23, " ", "")), 8) &amp; "*", 'Price list'!F:F, 0)), 0))</f>
        <v>0.18</v>
      </c>
      <c r="I23" s="17">
        <f>IF(ISBLANK(A23), "", IFERROR(INDEX('Price list'!D:D, MATCH(LEFT(UPPER(SUBSTITUTE(A23, " ", "")), 8) &amp; "*", 'Price list'!F:F, 0)), ""))</f>
        <v>95030010</v>
      </c>
      <c r="J23" s="19"/>
      <c r="K23" s="18">
        <f>IF(ISBLANK(A23), "", ROUND(G23*C23*J23,2))</f>
        <v>0</v>
      </c>
      <c r="L23" s="18">
        <f>IF(ISBLANK(A23), "", (G23*C23)-K23)</f>
        <v>1699</v>
      </c>
      <c r="M23" s="16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16"/>
    </row>
    <row r="24" spans="1:14" x14ac:dyDescent="0.3">
      <c r="A24" s="16" t="s">
        <v>140</v>
      </c>
      <c r="B24" s="16" t="s">
        <v>272</v>
      </c>
      <c r="C24" s="17">
        <v>1</v>
      </c>
      <c r="D24" s="17">
        <v>0</v>
      </c>
      <c r="E24" s="18">
        <v>849</v>
      </c>
      <c r="F24" s="16" t="str">
        <f>IF(ISBLANK(A24), "", IFERROR(INDEX('Price list'!B:B, MATCH(LEFT(UPPER(SUBSTITUTE(A24, " ", "")), 8) &amp; "*", 'Price list'!F:F, 0)), ""))</f>
        <v>SMRT1279</v>
      </c>
      <c r="G24" s="18">
        <f>IF(ISBLANK(A24), "", IFERROR(INDEX('Price list'!C:C, MATCH(LEFT(UPPER(SUBSTITUTE(A24, " ", "")), 8) &amp; "*", 'Price list'!F:F, 0)), 0))</f>
        <v>849</v>
      </c>
      <c r="H24" s="19">
        <f>IF(ISBLANK(A24), "", IFERROR(INDEX('Price list'!E:E, MATCH(LEFT(UPPER(SUBSTITUTE(A24, " ", "")), 8) &amp; "*", 'Price list'!F:F, 0)), 0))</f>
        <v>0.05</v>
      </c>
      <c r="I24" s="17">
        <f>IF(ISBLANK(A24), "", IFERROR(INDEX('Price list'!D:D, MATCH(LEFT(UPPER(SUBSTITUTE(A24, " ", "")), 8) &amp; "*", 'Price list'!F:F, 0)), ""))</f>
        <v>95030020</v>
      </c>
      <c r="J24" s="19"/>
      <c r="K24" s="18">
        <f>IF(ISBLANK(A24), "", ROUND(G24*C24*J24,2))</f>
        <v>0</v>
      </c>
      <c r="L24" s="18">
        <f>IF(ISBLANK(A24), "", (G24*C24)-K24)</f>
        <v>849</v>
      </c>
      <c r="M24" s="16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16"/>
    </row>
    <row r="25" spans="1:14" x14ac:dyDescent="0.3">
      <c r="A25" s="16" t="s">
        <v>141</v>
      </c>
      <c r="B25" s="16" t="s">
        <v>273</v>
      </c>
      <c r="C25" s="17">
        <v>1</v>
      </c>
      <c r="D25" s="17">
        <v>0</v>
      </c>
      <c r="E25" s="18">
        <v>1099</v>
      </c>
      <c r="F25" s="16" t="str">
        <f>IF(ISBLANK(A25), "", IFERROR(INDEX('Price list'!B:B, MATCH(LEFT(UPPER(SUBSTITUTE(A25, " ", "")), 8) &amp; "*", 'Price list'!F:F, 0)), ""))</f>
        <v>SMRT1280</v>
      </c>
      <c r="G25" s="18">
        <f>IF(ISBLANK(A25), "", IFERROR(INDEX('Price list'!C:C, MATCH(LEFT(UPPER(SUBSTITUTE(A25, " ", "")), 8) &amp; "*", 'Price list'!F:F, 0)), 0))</f>
        <v>1099</v>
      </c>
      <c r="H25" s="19">
        <f>IF(ISBLANK(A25), "", IFERROR(INDEX('Price list'!E:E, MATCH(LEFT(UPPER(SUBSTITUTE(A25, " ", "")), 8) &amp; "*", 'Price list'!F:F, 0)), 0))</f>
        <v>0.05</v>
      </c>
      <c r="I25" s="17">
        <f>IF(ISBLANK(A25), "", IFERROR(INDEX('Price list'!D:D, MATCH(LEFT(UPPER(SUBSTITUTE(A25, " ", "")), 8) &amp; "*", 'Price list'!F:F, 0)), ""))</f>
        <v>95030020</v>
      </c>
      <c r="J25" s="19"/>
      <c r="K25" s="18">
        <f>IF(ISBLANK(A25), "", ROUND(G25*C25*J25,2))</f>
        <v>0</v>
      </c>
      <c r="L25" s="18">
        <f>IF(ISBLANK(A25), "", (G25*C25)-K25)</f>
        <v>1099</v>
      </c>
      <c r="M25" s="16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16"/>
    </row>
    <row r="26" spans="1:14" ht="15" thickBot="1" x14ac:dyDescent="0.35">
      <c r="A26" s="16" t="s">
        <v>142</v>
      </c>
      <c r="B26" s="16" t="s">
        <v>274</v>
      </c>
      <c r="C26" s="17">
        <v>1</v>
      </c>
      <c r="D26" s="17">
        <v>0</v>
      </c>
      <c r="E26" s="18">
        <v>749</v>
      </c>
      <c r="F26" s="16" t="str">
        <f>IF(ISBLANK(A26), "", IFERROR(INDEX('Price list'!B:B, MATCH(LEFT(UPPER(SUBSTITUTE(A26, " ", "")), 8) &amp; "*", 'Price list'!F:F, 0)), ""))</f>
        <v>SMRT1281</v>
      </c>
      <c r="G26" s="18">
        <f>IF(ISBLANK(A26), "", IFERROR(INDEX('Price list'!C:C, MATCH(LEFT(UPPER(SUBSTITUTE(A26, " ", "")), 8) &amp; "*", 'Price list'!F:F, 0)), 0))</f>
        <v>749</v>
      </c>
      <c r="H26" s="19">
        <f>IF(ISBLANK(A26), "", IFERROR(INDEX('Price list'!E:E, MATCH(LEFT(UPPER(SUBSTITUTE(A26, " ", "")), 8) &amp; "*", 'Price list'!F:F, 0)), 0))</f>
        <v>0.05</v>
      </c>
      <c r="I26" s="17">
        <f>IF(ISBLANK(A26), "", IFERROR(INDEX('Price list'!D:D, MATCH(LEFT(UPPER(SUBSTITUTE(A26, " ", "")), 8) &amp; "*", 'Price list'!F:F, 0)), ""))</f>
        <v>95030020</v>
      </c>
      <c r="J26" s="19"/>
      <c r="K26" s="18">
        <f>IF(ISBLANK(A26), "", ROUND(G26*C26*J26,2))</f>
        <v>0</v>
      </c>
      <c r="L26" s="18">
        <f>IF(ISBLANK(A26), "", (G26*C26)-K26)</f>
        <v>749</v>
      </c>
      <c r="M26" s="16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16"/>
    </row>
    <row r="27" spans="1:14" ht="17.399999999999999" thickBot="1" x14ac:dyDescent="0.45">
      <c r="A27" s="20" t="s">
        <v>147</v>
      </c>
      <c r="B27" s="20" t="s">
        <v>275</v>
      </c>
      <c r="C27" s="20">
        <v>1</v>
      </c>
      <c r="D27" s="20">
        <v>0</v>
      </c>
      <c r="E27" s="21">
        <v>769</v>
      </c>
      <c r="F27" s="22" t="str">
        <f>IF(ISBLANK(A27), "", IFERROR(INDEX('Price list'!B:B, MATCH(LEFT(UPPER(SUBSTITUTE(A27, " ", "")), 8) &amp; "*", 'Price list'!F:F, 0)), ""))</f>
        <v>SMRT1293</v>
      </c>
      <c r="G27" s="21">
        <f>IF(ISBLANK(A27), "", IFERROR(INDEX('Price list'!C:C, MATCH(LEFT(UPPER(SUBSTITUTE(A27, " ", "")), 8) &amp; "*", 'Price list'!F:F, 0)), 0))</f>
        <v>769</v>
      </c>
      <c r="H27" s="23">
        <f>IF(ISBLANK(A27), "", IFERROR(INDEX('Price list'!E:E, MATCH(LEFT(UPPER(SUBSTITUTE(A27, " ", "")), 8) &amp; "*", 'Price list'!F:F, 0)), 0))</f>
        <v>0.05</v>
      </c>
      <c r="I27" s="20">
        <f>IF(ISBLANK(A27), "", IFERROR(INDEX('Price list'!D:D, MATCH(LEFT(UPPER(SUBSTITUTE(A27, " ", "")), 8) &amp; "*", 'Price list'!F:F, 0)), ""))</f>
        <v>95030020</v>
      </c>
      <c r="J27" s="23"/>
      <c r="K27" s="21">
        <f>IF(ISBLANK(A27), "", ROUND(G27*C27*J27,2))</f>
        <v>0</v>
      </c>
      <c r="L27" s="21">
        <f>IF(ISBLANK(A27), "", (G27*C27)-K27)</f>
        <v>769</v>
      </c>
      <c r="M27" s="16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16"/>
    </row>
    <row r="28" spans="1:14" x14ac:dyDescent="0.3">
      <c r="A28" s="16" t="s">
        <v>149</v>
      </c>
      <c r="B28" s="16" t="s">
        <v>276</v>
      </c>
      <c r="C28" s="17">
        <v>2</v>
      </c>
      <c r="D28" s="17">
        <v>0</v>
      </c>
      <c r="E28" s="18">
        <v>1299</v>
      </c>
      <c r="F28" s="16" t="str">
        <f>IF(ISBLANK(A28), "", IFERROR(INDEX('Price list'!B:B, MATCH(LEFT(UPPER(SUBSTITUTE(A28, " ", "")), 8) &amp; "*", 'Price list'!F:F, 0)), ""))</f>
        <v>SMRT1296</v>
      </c>
      <c r="G28" s="18">
        <f>IF(ISBLANK(A28), "", IFERROR(INDEX('Price list'!C:C, MATCH(LEFT(UPPER(SUBSTITUTE(A28, " ", "")), 8) &amp; "*", 'Price list'!F:F, 0)), 0))</f>
        <v>1299</v>
      </c>
      <c r="H28" s="19">
        <f>IF(ISBLANK(A28), "", IFERROR(INDEX('Price list'!E:E, MATCH(LEFT(UPPER(SUBSTITUTE(A28, " ", "")), 8) &amp; "*", 'Price list'!F:F, 0)), 0))</f>
        <v>0.18</v>
      </c>
      <c r="I28" s="17">
        <f>IF(ISBLANK(A28), "", IFERROR(INDEX('Price list'!D:D, MATCH(LEFT(UPPER(SUBSTITUTE(A28, " ", "")), 8) &amp; "*", 'Price list'!F:F, 0)), ""))</f>
        <v>95030010</v>
      </c>
      <c r="J28" s="19"/>
      <c r="K28" s="18">
        <f>IF(ISBLANK(A28), "", ROUND(G28*C28*J28,2))</f>
        <v>0</v>
      </c>
      <c r="L28" s="18">
        <f>IF(ISBLANK(A28), "", (G28*C28)-K28)</f>
        <v>2598</v>
      </c>
      <c r="M28" s="16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16"/>
    </row>
    <row r="29" spans="1:14" x14ac:dyDescent="0.3">
      <c r="A29" s="16" t="s">
        <v>154</v>
      </c>
      <c r="B29" s="16" t="s">
        <v>277</v>
      </c>
      <c r="C29" s="17">
        <v>1</v>
      </c>
      <c r="D29" s="17">
        <v>0</v>
      </c>
      <c r="E29" s="18">
        <v>1099</v>
      </c>
      <c r="F29" s="16" t="str">
        <f>IF(ISBLANK(A29), "", IFERROR(INDEX('Price list'!B:B, MATCH(LEFT(UPPER(SUBSTITUTE(A29, " ", "")), 8) &amp; "*", 'Price list'!F:F, 0)), ""))</f>
        <v>SMRT1301</v>
      </c>
      <c r="G29" s="18">
        <f>IF(ISBLANK(A29), "", IFERROR(INDEX('Price list'!C:C, MATCH(LEFT(UPPER(SUBSTITUTE(A29, " ", "")), 8) &amp; "*", 'Price list'!F:F, 0)), 0))</f>
        <v>1099</v>
      </c>
      <c r="H29" s="19">
        <f>IF(ISBLANK(A29), "", IFERROR(INDEX('Price list'!E:E, MATCH(LEFT(UPPER(SUBSTITUTE(A29, " ", "")), 8) &amp; "*", 'Price list'!F:F, 0)), 0))</f>
        <v>0.05</v>
      </c>
      <c r="I29" s="17">
        <f>IF(ISBLANK(A29), "", IFERROR(INDEX('Price list'!D:D, MATCH(LEFT(UPPER(SUBSTITUTE(A29, " ", "")), 8) &amp; "*", 'Price list'!F:F, 0)), ""))</f>
        <v>95030020</v>
      </c>
      <c r="J29" s="19"/>
      <c r="K29" s="18">
        <f>IF(ISBLANK(A29), "", ROUND(G29*C29*J29,2))</f>
        <v>0</v>
      </c>
      <c r="L29" s="18">
        <f>IF(ISBLANK(A29), "", (G29*C29)-K29)</f>
        <v>1099</v>
      </c>
      <c r="M29" s="16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16"/>
    </row>
    <row r="30" spans="1:14" x14ac:dyDescent="0.3">
      <c r="A30" s="16" t="s">
        <v>155</v>
      </c>
      <c r="B30" s="16" t="s">
        <v>278</v>
      </c>
      <c r="C30" s="17">
        <v>2</v>
      </c>
      <c r="D30" s="17">
        <v>0</v>
      </c>
      <c r="E30" s="18">
        <v>999</v>
      </c>
      <c r="F30" s="16" t="str">
        <f>IF(ISBLANK(A30), "", IFERROR(INDEX('Price list'!B:B, MATCH(LEFT(UPPER(SUBSTITUTE(A30, " ", "")), 8) &amp; "*", 'Price list'!F:F, 0)), ""))</f>
        <v>SMRT1302</v>
      </c>
      <c r="G30" s="18">
        <f>IF(ISBLANK(A30), "", IFERROR(INDEX('Price list'!C:C, MATCH(LEFT(UPPER(SUBSTITUTE(A30, " ", "")), 8) &amp; "*", 'Price list'!F:F, 0)), 0))</f>
        <v>999</v>
      </c>
      <c r="H30" s="19">
        <f>IF(ISBLANK(A30), "", IFERROR(INDEX('Price list'!E:E, MATCH(LEFT(UPPER(SUBSTITUTE(A30, " ", "")), 8) &amp; "*", 'Price list'!F:F, 0)), 0))</f>
        <v>0.18</v>
      </c>
      <c r="I30" s="17">
        <f>IF(ISBLANK(A30), "", IFERROR(INDEX('Price list'!D:D, MATCH(LEFT(UPPER(SUBSTITUTE(A30, " ", "")), 8) &amp; "*", 'Price list'!F:F, 0)), ""))</f>
        <v>95030010</v>
      </c>
      <c r="J30" s="19"/>
      <c r="K30" s="18">
        <f>IF(ISBLANK(A30), "", ROUND(G30*C30*J30,2))</f>
        <v>0</v>
      </c>
      <c r="L30" s="18">
        <f>IF(ISBLANK(A30), "", (G30*C30)-K30)</f>
        <v>1998</v>
      </c>
      <c r="M30" s="16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16"/>
    </row>
    <row r="31" spans="1:14" x14ac:dyDescent="0.3">
      <c r="A31" s="16" t="s">
        <v>156</v>
      </c>
      <c r="B31" s="16" t="s">
        <v>279</v>
      </c>
      <c r="C31" s="17">
        <v>3</v>
      </c>
      <c r="D31" s="17">
        <v>0</v>
      </c>
      <c r="E31" s="18">
        <v>1149</v>
      </c>
      <c r="F31" s="16" t="str">
        <f>IF(ISBLANK(A31), "", IFERROR(INDEX('Price list'!B:B, MATCH(LEFT(UPPER(SUBSTITUTE(A31, " ", "")), 8) &amp; "*", 'Price list'!F:F, 0)), ""))</f>
        <v>SMRT1303</v>
      </c>
      <c r="G31" s="18">
        <f>IF(ISBLANK(A31), "", IFERROR(INDEX('Price list'!C:C, MATCH(LEFT(UPPER(SUBSTITUTE(A31, " ", "")), 8) &amp; "*", 'Price list'!F:F, 0)), 0))</f>
        <v>1149</v>
      </c>
      <c r="H31" s="19">
        <f>IF(ISBLANK(A31), "", IFERROR(INDEX('Price list'!E:E, MATCH(LEFT(UPPER(SUBSTITUTE(A31, " ", "")), 8) &amp; "*", 'Price list'!F:F, 0)), 0))</f>
        <v>0.05</v>
      </c>
      <c r="I31" s="17">
        <f>IF(ISBLANK(A31), "", IFERROR(INDEX('Price list'!D:D, MATCH(LEFT(UPPER(SUBSTITUTE(A31, " ", "")), 8) &amp; "*", 'Price list'!F:F, 0)), ""))</f>
        <v>95030020</v>
      </c>
      <c r="J31" s="19"/>
      <c r="K31" s="18">
        <f>IF(ISBLANK(A31), "", ROUND(G31*C31*J31,2))</f>
        <v>0</v>
      </c>
      <c r="L31" s="18">
        <f>IF(ISBLANK(A31), "", (G31*C31)-K31)</f>
        <v>3447</v>
      </c>
      <c r="M31" s="16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16"/>
    </row>
    <row r="32" spans="1:14" x14ac:dyDescent="0.3">
      <c r="A32" s="16" t="s">
        <v>158</v>
      </c>
      <c r="B32" s="16" t="s">
        <v>280</v>
      </c>
      <c r="C32" s="17">
        <v>1</v>
      </c>
      <c r="D32" s="17">
        <v>0</v>
      </c>
      <c r="E32" s="18">
        <v>799</v>
      </c>
      <c r="F32" s="16" t="str">
        <f>IF(ISBLANK(A32), "", IFERROR(INDEX('Price list'!B:B, MATCH(LEFT(UPPER(SUBSTITUTE(A32, " ", "")), 8) &amp; "*", 'Price list'!F:F, 0)), ""))</f>
        <v>SMRT1309</v>
      </c>
      <c r="G32" s="18">
        <f>IF(ISBLANK(A32), "", IFERROR(INDEX('Price list'!C:C, MATCH(LEFT(UPPER(SUBSTITUTE(A32, " ", "")), 8) &amp; "*", 'Price list'!F:F, 0)), 0))</f>
        <v>799</v>
      </c>
      <c r="H32" s="19">
        <f>IF(ISBLANK(A32), "", IFERROR(INDEX('Price list'!E:E, MATCH(LEFT(UPPER(SUBSTITUTE(A32, " ", "")), 8) &amp; "*", 'Price list'!F:F, 0)), 0))</f>
        <v>0.05</v>
      </c>
      <c r="I32" s="17">
        <f>IF(ISBLANK(A32), "", IFERROR(INDEX('Price list'!D:D, MATCH(LEFT(UPPER(SUBSTITUTE(A32, " ", "")), 8) &amp; "*", 'Price list'!F:F, 0)), ""))</f>
        <v>95030020</v>
      </c>
      <c r="J32" s="19"/>
      <c r="K32" s="18">
        <f>IF(ISBLANK(A32), "", ROUND(G32*C32*J32,2))</f>
        <v>0</v>
      </c>
      <c r="L32" s="18">
        <f>IF(ISBLANK(A32), "", (G32*C32)-K32)</f>
        <v>799</v>
      </c>
      <c r="M32" s="16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16"/>
    </row>
    <row r="33" spans="1:14" x14ac:dyDescent="0.3">
      <c r="A33" s="16" t="s">
        <v>166</v>
      </c>
      <c r="B33" s="16" t="s">
        <v>281</v>
      </c>
      <c r="C33" s="17">
        <v>2</v>
      </c>
      <c r="D33" s="17">
        <v>0</v>
      </c>
      <c r="E33" s="18">
        <v>1499</v>
      </c>
      <c r="F33" s="16" t="str">
        <f>IF(ISBLANK(A33), "", IFERROR(INDEX('Price list'!B:B, MATCH(LEFT(UPPER(SUBSTITUTE(A33, " ", "")), 8) &amp; "*", 'Price list'!F:F, 0)), ""))</f>
        <v>SMRT1323</v>
      </c>
      <c r="G33" s="18">
        <f>IF(ISBLANK(A33), "", IFERROR(INDEX('Price list'!C:C, MATCH(LEFT(UPPER(SUBSTITUTE(A33, " ", "")), 8) &amp; "*", 'Price list'!F:F, 0)), 0))</f>
        <v>1499</v>
      </c>
      <c r="H33" s="19">
        <f>IF(ISBLANK(A33), "", IFERROR(INDEX('Price list'!E:E, MATCH(LEFT(UPPER(SUBSTITUTE(A33, " ", "")), 8) &amp; "*", 'Price list'!F:F, 0)), 0))</f>
        <v>0.05</v>
      </c>
      <c r="I33" s="17">
        <f>IF(ISBLANK(A33), "", IFERROR(INDEX('Price list'!D:D, MATCH(LEFT(UPPER(SUBSTITUTE(A33, " ", "")), 8) &amp; "*", 'Price list'!F:F, 0)), ""))</f>
        <v>95030020</v>
      </c>
      <c r="J33" s="19"/>
      <c r="K33" s="18">
        <f>IF(ISBLANK(A33), "", ROUND(G33*C33*J33,2))</f>
        <v>0</v>
      </c>
      <c r="L33" s="18">
        <f>IF(ISBLANK(A33), "", (G33*C33)-K33)</f>
        <v>2998</v>
      </c>
      <c r="M33" s="16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16"/>
    </row>
    <row r="34" spans="1:14" x14ac:dyDescent="0.3">
      <c r="A34" s="16" t="s">
        <v>173</v>
      </c>
      <c r="B34" s="16" t="s">
        <v>282</v>
      </c>
      <c r="C34" s="17">
        <v>1</v>
      </c>
      <c r="D34" s="17">
        <v>0</v>
      </c>
      <c r="E34" s="18">
        <v>1149</v>
      </c>
      <c r="F34" s="16" t="str">
        <f>IF(ISBLANK(A34), "", IFERROR(INDEX('Price list'!B:B, MATCH(LEFT(UPPER(SUBSTITUTE(A34, " ", "")), 8) &amp; "*", 'Price list'!F:F, 0)), ""))</f>
        <v>SMRT1334</v>
      </c>
      <c r="G34" s="18">
        <f>IF(ISBLANK(A34), "", IFERROR(INDEX('Price list'!C:C, MATCH(LEFT(UPPER(SUBSTITUTE(A34, " ", "")), 8) &amp; "*", 'Price list'!F:F, 0)), 0))</f>
        <v>1149</v>
      </c>
      <c r="H34" s="19">
        <f>IF(ISBLANK(A34), "", IFERROR(INDEX('Price list'!E:E, MATCH(LEFT(UPPER(SUBSTITUTE(A34, " ", "")), 8) &amp; "*", 'Price list'!F:F, 0)), 0))</f>
        <v>0.05</v>
      </c>
      <c r="I34" s="17">
        <f>IF(ISBLANK(A34), "", IFERROR(INDEX('Price list'!D:D, MATCH(LEFT(UPPER(SUBSTITUTE(A34, " ", "")), 8) &amp; "*", 'Price list'!F:F, 0)), ""))</f>
        <v>95030020</v>
      </c>
      <c r="J34" s="19"/>
      <c r="K34" s="18">
        <f>IF(ISBLANK(A34), "", ROUND(G34*C34*J34,2))</f>
        <v>0</v>
      </c>
      <c r="L34" s="18">
        <f>IF(ISBLANK(A34), "", (G34*C34)-K34)</f>
        <v>1149</v>
      </c>
      <c r="M34" s="16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16"/>
    </row>
    <row r="35" spans="1:14" x14ac:dyDescent="0.3">
      <c r="A35" s="16" t="s">
        <v>180</v>
      </c>
      <c r="B35" s="16" t="s">
        <v>283</v>
      </c>
      <c r="C35" s="17">
        <v>1</v>
      </c>
      <c r="D35" s="17">
        <v>0</v>
      </c>
      <c r="E35" s="18">
        <v>1099</v>
      </c>
      <c r="F35" s="16" t="str">
        <f>IF(ISBLANK(A35), "", IFERROR(INDEX('Price list'!B:B, MATCH(LEFT(UPPER(SUBSTITUTE(A35, " ", "")), 8) &amp; "*", 'Price list'!F:F, 0)), ""))</f>
        <v>SMRT1345</v>
      </c>
      <c r="G35" s="18">
        <f>IF(ISBLANK(A35), "", IFERROR(INDEX('Price list'!C:C, MATCH(LEFT(UPPER(SUBSTITUTE(A35, " ", "")), 8) &amp; "*", 'Price list'!F:F, 0)), 0))</f>
        <v>1099</v>
      </c>
      <c r="H35" s="19">
        <f>IF(ISBLANK(A35), "", IFERROR(INDEX('Price list'!E:E, MATCH(LEFT(UPPER(SUBSTITUTE(A35, " ", "")), 8) &amp; "*", 'Price list'!F:F, 0)), 0))</f>
        <v>0.05</v>
      </c>
      <c r="I35" s="17">
        <f>IF(ISBLANK(A35), "", IFERROR(INDEX('Price list'!D:D, MATCH(LEFT(UPPER(SUBSTITUTE(A35, " ", "")), 8) &amp; "*", 'Price list'!F:F, 0)), ""))</f>
        <v>95030020</v>
      </c>
      <c r="J35" s="19"/>
      <c r="K35" s="18">
        <f>IF(ISBLANK(A35), "", ROUND(G35*C35*J35,2))</f>
        <v>0</v>
      </c>
      <c r="L35" s="18">
        <f>IF(ISBLANK(A35), "", (G35*C35)-K35)</f>
        <v>1099</v>
      </c>
      <c r="M35" s="16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16"/>
    </row>
    <row r="36" spans="1:14" x14ac:dyDescent="0.3">
      <c r="A36" s="16" t="s">
        <v>130</v>
      </c>
      <c r="B36" s="16" t="s">
        <v>284</v>
      </c>
      <c r="C36" s="17">
        <v>1</v>
      </c>
      <c r="D36" s="17">
        <v>0</v>
      </c>
      <c r="E36" s="18">
        <v>669</v>
      </c>
      <c r="F36" s="16" t="str">
        <f>IF(ISBLANK(A36), "", IFERROR(INDEX('Price list'!B:B, MATCH(LEFT(UPPER(SUBSTITUTE(A36, " ", "")), 8) &amp; "*", 'Price list'!F:F, 0)), ""))</f>
        <v>SMRT1268</v>
      </c>
      <c r="G36" s="18">
        <f>IF(ISBLANK(A36), "", IFERROR(INDEX('Price list'!C:C, MATCH(LEFT(UPPER(SUBSTITUTE(A36, " ", "")), 8) &amp; "*", 'Price list'!F:F, 0)), 0))</f>
        <v>669</v>
      </c>
      <c r="H36" s="19">
        <f>IF(ISBLANK(A36), "", IFERROR(INDEX('Price list'!E:E, MATCH(LEFT(UPPER(SUBSTITUTE(A36, " ", "")), 8) &amp; "*", 'Price list'!F:F, 0)), 0))</f>
        <v>0.05</v>
      </c>
      <c r="I36" s="17">
        <f>IF(ISBLANK(A36), "", IFERROR(INDEX('Price list'!D:D, MATCH(LEFT(UPPER(SUBSTITUTE(A36, " ", "")), 8) &amp; "*", 'Price list'!F:F, 0)), ""))</f>
        <v>95030020</v>
      </c>
      <c r="J36" s="19"/>
      <c r="K36" s="18">
        <f>IF(ISBLANK(A36), "", ROUND(G36*C36*J36,2))</f>
        <v>0</v>
      </c>
      <c r="L36" s="18">
        <f>IF(ISBLANK(A36), "", (G36*C36)-K36)</f>
        <v>669</v>
      </c>
      <c r="M36" s="16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16"/>
    </row>
    <row r="37" spans="1:14" x14ac:dyDescent="0.3">
      <c r="A37" s="16" t="s">
        <v>131</v>
      </c>
      <c r="B37" s="16" t="s">
        <v>285</v>
      </c>
      <c r="C37" s="17">
        <v>1</v>
      </c>
      <c r="D37" s="17">
        <v>0</v>
      </c>
      <c r="E37" s="18">
        <v>869</v>
      </c>
      <c r="F37" s="16" t="str">
        <f>IF(ISBLANK(A37), "", IFERROR(INDEX('Price list'!B:B, MATCH(LEFT(UPPER(SUBSTITUTE(A37, " ", "")), 8) &amp; "*", 'Price list'!F:F, 0)), ""))</f>
        <v>SMRT1269</v>
      </c>
      <c r="G37" s="18">
        <f>IF(ISBLANK(A37), "", IFERROR(INDEX('Price list'!C:C, MATCH(LEFT(UPPER(SUBSTITUTE(A37, " ", "")), 8) &amp; "*", 'Price list'!F:F, 0)), 0))</f>
        <v>869</v>
      </c>
      <c r="H37" s="19">
        <f>IF(ISBLANK(A37), "", IFERROR(INDEX('Price list'!E:E, MATCH(LEFT(UPPER(SUBSTITUTE(A37, " ", "")), 8) &amp; "*", 'Price list'!F:F, 0)), 0))</f>
        <v>0.05</v>
      </c>
      <c r="I37" s="17">
        <f>IF(ISBLANK(A37), "", IFERROR(INDEX('Price list'!D:D, MATCH(LEFT(UPPER(SUBSTITUTE(A37, " ", "")), 8) &amp; "*", 'Price list'!F:F, 0)), ""))</f>
        <v>95030020</v>
      </c>
      <c r="J37" s="19"/>
      <c r="K37" s="18">
        <f>IF(ISBLANK(A37), "", ROUND(G37*C37*J37,2))</f>
        <v>0</v>
      </c>
      <c r="L37" s="18">
        <f>IF(ISBLANK(A37), "", (G37*C37)-K37)</f>
        <v>869</v>
      </c>
      <c r="M37" s="16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16"/>
    </row>
    <row r="38" spans="1:14" x14ac:dyDescent="0.3">
      <c r="A38" s="16" t="s">
        <v>132</v>
      </c>
      <c r="B38" s="16" t="s">
        <v>286</v>
      </c>
      <c r="C38" s="17">
        <v>1</v>
      </c>
      <c r="D38" s="17">
        <v>0</v>
      </c>
      <c r="E38" s="18">
        <v>769</v>
      </c>
      <c r="F38" s="16" t="str">
        <f>IF(ISBLANK(A38), "", IFERROR(INDEX('Price list'!B:B, MATCH(LEFT(UPPER(SUBSTITUTE(A38, " ", "")), 8) &amp; "*", 'Price list'!F:F, 0)), ""))</f>
        <v>SMRT1270</v>
      </c>
      <c r="G38" s="18">
        <f>IF(ISBLANK(A38), "", IFERROR(INDEX('Price list'!C:C, MATCH(LEFT(UPPER(SUBSTITUTE(A38, " ", "")), 8) &amp; "*", 'Price list'!F:F, 0)), 0))</f>
        <v>769</v>
      </c>
      <c r="H38" s="19">
        <f>IF(ISBLANK(A38), "", IFERROR(INDEX('Price list'!E:E, MATCH(LEFT(UPPER(SUBSTITUTE(A38, " ", "")), 8) &amp; "*", 'Price list'!F:F, 0)), 0))</f>
        <v>0.05</v>
      </c>
      <c r="I38" s="17">
        <f>IF(ISBLANK(A38), "", IFERROR(INDEX('Price list'!D:D, MATCH(LEFT(UPPER(SUBSTITUTE(A38, " ", "")), 8) &amp; "*", 'Price list'!F:F, 0)), ""))</f>
        <v>95030020</v>
      </c>
      <c r="J38" s="19"/>
      <c r="K38" s="18">
        <f>IF(ISBLANK(A38), "", ROUND(G38*C38*J38,2))</f>
        <v>0</v>
      </c>
      <c r="L38" s="18">
        <f>IF(ISBLANK(A38), "", (G38*C38)-K38)</f>
        <v>769</v>
      </c>
      <c r="M38" s="16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16"/>
    </row>
    <row r="39" spans="1:14" x14ac:dyDescent="0.3">
      <c r="A39" s="16" t="s">
        <v>136</v>
      </c>
      <c r="B39" s="16" t="s">
        <v>287</v>
      </c>
      <c r="C39" s="17">
        <v>1</v>
      </c>
      <c r="D39" s="17">
        <v>0</v>
      </c>
      <c r="E39" s="18">
        <v>869</v>
      </c>
      <c r="F39" s="16" t="str">
        <f>IF(ISBLANK(A39), "", IFERROR(INDEX('Price list'!B:B, MATCH(LEFT(UPPER(SUBSTITUTE(A39, " ", "")), 8) &amp; "*", 'Price list'!F:F, 0)), ""))</f>
        <v>SMRT1274</v>
      </c>
      <c r="G39" s="18">
        <f>IF(ISBLANK(A39), "", IFERROR(INDEX('Price list'!C:C, MATCH(LEFT(UPPER(SUBSTITUTE(A39, " ", "")), 8) &amp; "*", 'Price list'!F:F, 0)), 0))</f>
        <v>869</v>
      </c>
      <c r="H39" s="19">
        <f>IF(ISBLANK(A39), "", IFERROR(INDEX('Price list'!E:E, MATCH(LEFT(UPPER(SUBSTITUTE(A39, " ", "")), 8) &amp; "*", 'Price list'!F:F, 0)), 0))</f>
        <v>0.05</v>
      </c>
      <c r="I39" s="17">
        <f>IF(ISBLANK(A39), "", IFERROR(INDEX('Price list'!D:D, MATCH(LEFT(UPPER(SUBSTITUTE(A39, " ", "")), 8) &amp; "*", 'Price list'!F:F, 0)), ""))</f>
        <v>95030020</v>
      </c>
      <c r="J39" s="19"/>
      <c r="K39" s="18">
        <f>IF(ISBLANK(A39), "", ROUND(G39*C39*J39,2))</f>
        <v>0</v>
      </c>
      <c r="L39" s="18">
        <f>IF(ISBLANK(A39), "", (G39*C39)-K39)</f>
        <v>869</v>
      </c>
      <c r="M39" s="16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16"/>
    </row>
    <row r="40" spans="1:14" x14ac:dyDescent="0.3">
      <c r="A40" s="16" t="s">
        <v>143</v>
      </c>
      <c r="B40" s="16" t="s">
        <v>288</v>
      </c>
      <c r="C40" s="17">
        <v>1</v>
      </c>
      <c r="D40" s="17">
        <v>0</v>
      </c>
      <c r="E40" s="18">
        <v>579</v>
      </c>
      <c r="F40" s="16" t="str">
        <f>IF(ISBLANK(A40), "", IFERROR(INDEX('Price list'!B:B, MATCH(LEFT(UPPER(SUBSTITUTE(A40, " ", "")), 8) &amp; "*", 'Price list'!F:F, 0)), ""))</f>
        <v>SMRT1282</v>
      </c>
      <c r="G40" s="18">
        <f>IF(ISBLANK(A40), "", IFERROR(INDEX('Price list'!C:C, MATCH(LEFT(UPPER(SUBSTITUTE(A40, " ", "")), 8) &amp; "*", 'Price list'!F:F, 0)), 0))</f>
        <v>579</v>
      </c>
      <c r="H40" s="19">
        <f>IF(ISBLANK(A40), "", IFERROR(INDEX('Price list'!E:E, MATCH(LEFT(UPPER(SUBSTITUTE(A40, " ", "")), 8) &amp; "*", 'Price list'!F:F, 0)), 0))</f>
        <v>0.05</v>
      </c>
      <c r="I40" s="17">
        <f>IF(ISBLANK(A40), "", IFERROR(INDEX('Price list'!D:D, MATCH(LEFT(UPPER(SUBSTITUTE(A40, " ", "")), 8) &amp; "*", 'Price list'!F:F, 0)), ""))</f>
        <v>95030020</v>
      </c>
      <c r="J40" s="19"/>
      <c r="K40" s="18">
        <f>IF(ISBLANK(A40), "", ROUND(G40*C40*J40,2))</f>
        <v>0</v>
      </c>
      <c r="L40" s="18">
        <f>IF(ISBLANK(A40), "", (G40*C40)-K40)</f>
        <v>579</v>
      </c>
      <c r="M40" s="16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16"/>
    </row>
    <row r="41" spans="1:14" x14ac:dyDescent="0.3">
      <c r="A41" s="16" t="s">
        <v>150</v>
      </c>
      <c r="B41" s="16" t="s">
        <v>289</v>
      </c>
      <c r="C41" s="17">
        <v>1</v>
      </c>
      <c r="D41" s="17">
        <v>0</v>
      </c>
      <c r="E41" s="18">
        <v>769</v>
      </c>
      <c r="F41" s="16" t="str">
        <f>IF(ISBLANK(A41), "", IFERROR(INDEX('Price list'!B:B, MATCH(LEFT(UPPER(SUBSTITUTE(A41, " ", "")), 8) &amp; "*", 'Price list'!F:F, 0)), ""))</f>
        <v>SMRT1297</v>
      </c>
      <c r="G41" s="18">
        <f>IF(ISBLANK(A41), "", IFERROR(INDEX('Price list'!C:C, MATCH(LEFT(UPPER(SUBSTITUTE(A41, " ", "")), 8) &amp; "*", 'Price list'!F:F, 0)), 0))</f>
        <v>769</v>
      </c>
      <c r="H41" s="19">
        <f>IF(ISBLANK(A41), "", IFERROR(INDEX('Price list'!E:E, MATCH(LEFT(UPPER(SUBSTITUTE(A41, " ", "")), 8) &amp; "*", 'Price list'!F:F, 0)), 0))</f>
        <v>0.05</v>
      </c>
      <c r="I41" s="17">
        <f>IF(ISBLANK(A41), "", IFERROR(INDEX('Price list'!D:D, MATCH(LEFT(UPPER(SUBSTITUTE(A41, " ", "")), 8) &amp; "*", 'Price list'!F:F, 0)), ""))</f>
        <v>95030020</v>
      </c>
      <c r="J41" s="19"/>
      <c r="K41" s="18">
        <f>IF(ISBLANK(A41), "", ROUND(G41*C41*J41,2))</f>
        <v>0</v>
      </c>
      <c r="L41" s="18">
        <f>IF(ISBLANK(A41), "", (G41*C41)-K41)</f>
        <v>769</v>
      </c>
      <c r="M41" s="16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16"/>
    </row>
    <row r="42" spans="1:14" x14ac:dyDescent="0.3">
      <c r="A42" s="16" t="s">
        <v>151</v>
      </c>
      <c r="B42" s="16" t="s">
        <v>290</v>
      </c>
      <c r="C42" s="17">
        <v>1</v>
      </c>
      <c r="D42" s="17">
        <v>0</v>
      </c>
      <c r="E42" s="18">
        <v>799</v>
      </c>
      <c r="F42" s="16" t="str">
        <f>IF(ISBLANK(A42), "", IFERROR(INDEX('Price list'!B:B, MATCH(LEFT(UPPER(SUBSTITUTE(A42, " ", "")), 8) &amp; "*", 'Price list'!F:F, 0)), ""))</f>
        <v>SMRT1298</v>
      </c>
      <c r="G42" s="18">
        <f>IF(ISBLANK(A42), "", IFERROR(INDEX('Price list'!C:C, MATCH(LEFT(UPPER(SUBSTITUTE(A42, " ", "")), 8) &amp; "*", 'Price list'!F:F, 0)), 0))</f>
        <v>799</v>
      </c>
      <c r="H42" s="19">
        <f>IF(ISBLANK(A42), "", IFERROR(INDEX('Price list'!E:E, MATCH(LEFT(UPPER(SUBSTITUTE(A42, " ", "")), 8) &amp; "*", 'Price list'!F:F, 0)), 0))</f>
        <v>0.05</v>
      </c>
      <c r="I42" s="17">
        <f>IF(ISBLANK(A42), "", IFERROR(INDEX('Price list'!D:D, MATCH(LEFT(UPPER(SUBSTITUTE(A42, " ", "")), 8) &amp; "*", 'Price list'!F:F, 0)), ""))</f>
        <v>95030020</v>
      </c>
      <c r="J42" s="19"/>
      <c r="K42" s="18">
        <f>IF(ISBLANK(A42), "", ROUND(G42*C42*J42,2))</f>
        <v>0</v>
      </c>
      <c r="L42" s="18">
        <f>IF(ISBLANK(A42), "", (G42*C42)-K42)</f>
        <v>799</v>
      </c>
      <c r="M42" s="16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16"/>
    </row>
    <row r="43" spans="1:14" x14ac:dyDescent="0.3">
      <c r="A43" s="16" t="s">
        <v>157</v>
      </c>
      <c r="B43" s="16" t="s">
        <v>291</v>
      </c>
      <c r="C43" s="17">
        <v>1</v>
      </c>
      <c r="D43" s="17">
        <v>0</v>
      </c>
      <c r="E43" s="18">
        <v>869</v>
      </c>
      <c r="F43" s="16" t="str">
        <f>IF(ISBLANK(A43), "", IFERROR(INDEX('Price list'!B:B, MATCH(LEFT(UPPER(SUBSTITUTE(A43, " ", "")), 8) &amp; "*", 'Price list'!F:F, 0)), ""))</f>
        <v>SMRT1305</v>
      </c>
      <c r="G43" s="18">
        <f>IF(ISBLANK(A43), "", IFERROR(INDEX('Price list'!C:C, MATCH(LEFT(UPPER(SUBSTITUTE(A43, " ", "")), 8) &amp; "*", 'Price list'!F:F, 0)), 0))</f>
        <v>869</v>
      </c>
      <c r="H43" s="19">
        <f>IF(ISBLANK(A43), "", IFERROR(INDEX('Price list'!E:E, MATCH(LEFT(UPPER(SUBSTITUTE(A43, " ", "")), 8) &amp; "*", 'Price list'!F:F, 0)), 0))</f>
        <v>0.05</v>
      </c>
      <c r="I43" s="17">
        <f>IF(ISBLANK(A43), "", IFERROR(INDEX('Price list'!D:D, MATCH(LEFT(UPPER(SUBSTITUTE(A43, " ", "")), 8) &amp; "*", 'Price list'!F:F, 0)), ""))</f>
        <v>95030020</v>
      </c>
      <c r="J43" s="19"/>
      <c r="K43" s="18">
        <f>IF(ISBLANK(A43), "", ROUND(G43*C43*J43,2))</f>
        <v>0</v>
      </c>
      <c r="L43" s="18">
        <f>IF(ISBLANK(A43), "", (G43*C43)-K43)</f>
        <v>869</v>
      </c>
      <c r="M43" s="16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  <c r="N43" s="16"/>
    </row>
    <row r="44" spans="1:14" x14ac:dyDescent="0.3">
      <c r="A44" s="16" t="s">
        <v>160</v>
      </c>
      <c r="B44" s="16" t="s">
        <v>292</v>
      </c>
      <c r="C44" s="17">
        <v>1</v>
      </c>
      <c r="D44" s="17">
        <v>0</v>
      </c>
      <c r="E44" s="18">
        <v>669</v>
      </c>
      <c r="F44" s="16" t="str">
        <f>IF(ISBLANK(A44), "", IFERROR(INDEX('Price list'!B:B, MATCH(LEFT(UPPER(SUBSTITUTE(A44, " ", "")), 8) &amp; "*", 'Price list'!F:F, 0)), ""))</f>
        <v>SMRT1312</v>
      </c>
      <c r="G44" s="18">
        <f>IF(ISBLANK(A44), "", IFERROR(INDEX('Price list'!C:C, MATCH(LEFT(UPPER(SUBSTITUTE(A44, " ", "")), 8) &amp; "*", 'Price list'!F:F, 0)), 0))</f>
        <v>669</v>
      </c>
      <c r="H44" s="19">
        <f>IF(ISBLANK(A44), "", IFERROR(INDEX('Price list'!E:E, MATCH(LEFT(UPPER(SUBSTITUTE(A44, " ", "")), 8) &amp; "*", 'Price list'!F:F, 0)), 0))</f>
        <v>0.05</v>
      </c>
      <c r="I44" s="17">
        <f>IF(ISBLANK(A44), "", IFERROR(INDEX('Price list'!D:D, MATCH(LEFT(UPPER(SUBSTITUTE(A44, " ", "")), 8) &amp; "*", 'Price list'!F:F, 0)), ""))</f>
        <v>95030020</v>
      </c>
      <c r="J44" s="19"/>
      <c r="K44" s="18">
        <f>IF(ISBLANK(A44), "", ROUND(G44*C44*J44,2))</f>
        <v>0</v>
      </c>
      <c r="L44" s="18">
        <f>IF(ISBLANK(A44), "", (G44*C44)-K44)</f>
        <v>669</v>
      </c>
      <c r="M44" s="16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16"/>
    </row>
    <row r="45" spans="1:14" x14ac:dyDescent="0.3">
      <c r="A45" s="16" t="s">
        <v>161</v>
      </c>
      <c r="B45" s="16" t="s">
        <v>293</v>
      </c>
      <c r="C45" s="17">
        <v>1</v>
      </c>
      <c r="D45" s="17">
        <v>0</v>
      </c>
      <c r="E45" s="18">
        <v>549</v>
      </c>
      <c r="F45" s="16" t="str">
        <f>IF(ISBLANK(A45), "", IFERROR(INDEX('Price list'!B:B, MATCH(LEFT(UPPER(SUBSTITUTE(A45, " ", "")), 8) &amp; "*", 'Price list'!F:F, 0)), ""))</f>
        <v>SMRT1313</v>
      </c>
      <c r="G45" s="18">
        <f>IF(ISBLANK(A45), "", IFERROR(INDEX('Price list'!C:C, MATCH(LEFT(UPPER(SUBSTITUTE(A45, " ", "")), 8) &amp; "*", 'Price list'!F:F, 0)), 0))</f>
        <v>549</v>
      </c>
      <c r="H45" s="19">
        <f>IF(ISBLANK(A45), "", IFERROR(INDEX('Price list'!E:E, MATCH(LEFT(UPPER(SUBSTITUTE(A45, " ", "")), 8) &amp; "*", 'Price list'!F:F, 0)), 0))</f>
        <v>0.05</v>
      </c>
      <c r="I45" s="17">
        <f>IF(ISBLANK(A45), "", IFERROR(INDEX('Price list'!D:D, MATCH(LEFT(UPPER(SUBSTITUTE(A45, " ", "")), 8) &amp; "*", 'Price list'!F:F, 0)), ""))</f>
        <v>95030020</v>
      </c>
      <c r="J45" s="19"/>
      <c r="K45" s="18">
        <f>IF(ISBLANK(A45), "", ROUND(G45*C45*J45,2))</f>
        <v>0</v>
      </c>
      <c r="L45" s="18">
        <f>IF(ISBLANK(A45), "", (G45*C45)-K45)</f>
        <v>549</v>
      </c>
      <c r="M45" s="16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16"/>
    </row>
    <row r="46" spans="1:14" x14ac:dyDescent="0.3">
      <c r="A46" s="16" t="s">
        <v>162</v>
      </c>
      <c r="B46" s="16" t="s">
        <v>294</v>
      </c>
      <c r="C46" s="17">
        <v>1</v>
      </c>
      <c r="D46" s="17">
        <v>0</v>
      </c>
      <c r="E46" s="18">
        <v>669</v>
      </c>
      <c r="F46" s="16" t="str">
        <f>IF(ISBLANK(A46), "", IFERROR(INDEX('Price list'!B:B, MATCH(LEFT(UPPER(SUBSTITUTE(A46, " ", "")), 8) &amp; "*", 'Price list'!F:F, 0)), ""))</f>
        <v>SMRT1315</v>
      </c>
      <c r="G46" s="18">
        <f>IF(ISBLANK(A46), "", IFERROR(INDEX('Price list'!C:C, MATCH(LEFT(UPPER(SUBSTITUTE(A46, " ", "")), 8) &amp; "*", 'Price list'!F:F, 0)), 0))</f>
        <v>669</v>
      </c>
      <c r="H46" s="19">
        <f>IF(ISBLANK(A46), "", IFERROR(INDEX('Price list'!E:E, MATCH(LEFT(UPPER(SUBSTITUTE(A46, " ", "")), 8) &amp; "*", 'Price list'!F:F, 0)), 0))</f>
        <v>0.05</v>
      </c>
      <c r="I46" s="17">
        <f>IF(ISBLANK(A46), "", IFERROR(INDEX('Price list'!D:D, MATCH(LEFT(UPPER(SUBSTITUTE(A46, " ", "")), 8) &amp; "*", 'Price list'!F:F, 0)), ""))</f>
        <v>95030020</v>
      </c>
      <c r="J46" s="19"/>
      <c r="K46" s="18">
        <f>IF(ISBLANK(A46), "", ROUND(G46*C46*J46,2))</f>
        <v>0</v>
      </c>
      <c r="L46" s="18">
        <f>IF(ISBLANK(A46), "", (G46*C46)-K46)</f>
        <v>669</v>
      </c>
      <c r="M46" s="16" t="str">
        <f>IF(ISBLANK(A46), "", IF(F46="", "⚠️ SKU not found in Price List", IF(ROUND(E46,2)&lt;&gt;ROUND(G46,2), "⚠️ Price Mismatch! (PO: " &amp; TEXT(E46,"#,##0.00") &amp; ", List: " &amp; TEXT(G46,"#,##0.00") &amp; ")", "✅ OK")))</f>
        <v>✅ OK</v>
      </c>
      <c r="N46" s="16"/>
    </row>
    <row r="47" spans="1:14" x14ac:dyDescent="0.3">
      <c r="A47" s="16" t="s">
        <v>169</v>
      </c>
      <c r="B47" s="16" t="s">
        <v>295</v>
      </c>
      <c r="C47" s="17">
        <v>1</v>
      </c>
      <c r="D47" s="17">
        <v>0</v>
      </c>
      <c r="E47" s="18">
        <v>529</v>
      </c>
      <c r="F47" s="16" t="str">
        <f>IF(ISBLANK(A47), "", IFERROR(INDEX('Price list'!B:B, MATCH(LEFT(UPPER(SUBSTITUTE(A47, " ", "")), 8) &amp; "*", 'Price list'!F:F, 0)), ""))</f>
        <v>SMRT1326</v>
      </c>
      <c r="G47" s="18">
        <f>IF(ISBLANK(A47), "", IFERROR(INDEX('Price list'!C:C, MATCH(LEFT(UPPER(SUBSTITUTE(A47, " ", "")), 8) &amp; "*", 'Price list'!F:F, 0)), 0))</f>
        <v>529</v>
      </c>
      <c r="H47" s="19">
        <f>IF(ISBLANK(A47), "", IFERROR(INDEX('Price list'!E:E, MATCH(LEFT(UPPER(SUBSTITUTE(A47, " ", "")), 8) &amp; "*", 'Price list'!F:F, 0)), 0))</f>
        <v>0.05</v>
      </c>
      <c r="I47" s="17">
        <f>IF(ISBLANK(A47), "", IFERROR(INDEX('Price list'!D:D, MATCH(LEFT(UPPER(SUBSTITUTE(A47, " ", "")), 8) &amp; "*", 'Price list'!F:F, 0)), ""))</f>
        <v>95030020</v>
      </c>
      <c r="J47" s="19"/>
      <c r="K47" s="18">
        <f>IF(ISBLANK(A47), "", ROUND(G47*C47*J47,2))</f>
        <v>0</v>
      </c>
      <c r="L47" s="18">
        <f>IF(ISBLANK(A47), "", (G47*C47)-K47)</f>
        <v>529</v>
      </c>
      <c r="M47" s="16" t="str">
        <f>IF(ISBLANK(A47), "", IF(F47="", "⚠️ SKU not found in Price List", IF(ROUND(E47,2)&lt;&gt;ROUND(G47,2), "⚠️ Price Mismatch! (PO: " &amp; TEXT(E47,"#,##0.00") &amp; ", List: " &amp; TEXT(G47,"#,##0.00") &amp; ")", "✅ OK")))</f>
        <v>✅ OK</v>
      </c>
      <c r="N47" s="16"/>
    </row>
    <row r="48" spans="1:14" x14ac:dyDescent="0.3">
      <c r="A48" s="16" t="s">
        <v>170</v>
      </c>
      <c r="B48" s="16" t="s">
        <v>296</v>
      </c>
      <c r="C48" s="17">
        <v>1</v>
      </c>
      <c r="D48" s="17">
        <v>0</v>
      </c>
      <c r="E48" s="18">
        <v>699</v>
      </c>
      <c r="F48" s="16" t="str">
        <f>IF(ISBLANK(A48), "", IFERROR(INDEX('Price list'!B:B, MATCH(LEFT(UPPER(SUBSTITUTE(A48, " ", "")), 8) &amp; "*", 'Price list'!F:F, 0)), ""))</f>
        <v>SMRT1328</v>
      </c>
      <c r="G48" s="18">
        <f>IF(ISBLANK(A48), "", IFERROR(INDEX('Price list'!C:C, MATCH(LEFT(UPPER(SUBSTITUTE(A48, " ", "")), 8) &amp; "*", 'Price list'!F:F, 0)), 0))</f>
        <v>699</v>
      </c>
      <c r="H48" s="19">
        <f>IF(ISBLANK(A48), "", IFERROR(INDEX('Price list'!E:E, MATCH(LEFT(UPPER(SUBSTITUTE(A48, " ", "")), 8) &amp; "*", 'Price list'!F:F, 0)), 0))</f>
        <v>0.05</v>
      </c>
      <c r="I48" s="17">
        <f>IF(ISBLANK(A48), "", IFERROR(INDEX('Price list'!D:D, MATCH(LEFT(UPPER(SUBSTITUTE(A48, " ", "")), 8) &amp; "*", 'Price list'!F:F, 0)), ""))</f>
        <v>95030020</v>
      </c>
      <c r="J48" s="19"/>
      <c r="K48" s="18">
        <f>IF(ISBLANK(A48), "", ROUND(G48*C48*J48,2))</f>
        <v>0</v>
      </c>
      <c r="L48" s="18">
        <f>IF(ISBLANK(A48), "", (G48*C48)-K48)</f>
        <v>699</v>
      </c>
      <c r="M48" s="16" t="str">
        <f>IF(ISBLANK(A48), "", IF(F48="", "⚠️ SKU not found in Price List", IF(ROUND(E48,2)&lt;&gt;ROUND(G48,2), "⚠️ Price Mismatch! (PO: " &amp; TEXT(E48,"#,##0.00") &amp; ", List: " &amp; TEXT(G48,"#,##0.00") &amp; ")", "✅ OK")))</f>
        <v>✅ OK</v>
      </c>
      <c r="N48" s="16"/>
    </row>
    <row r="49" spans="1:14" x14ac:dyDescent="0.3">
      <c r="A49" s="16" t="s">
        <v>171</v>
      </c>
      <c r="B49" s="16" t="s">
        <v>297</v>
      </c>
      <c r="C49" s="17">
        <v>1</v>
      </c>
      <c r="D49" s="17">
        <v>0</v>
      </c>
      <c r="E49" s="18">
        <v>559</v>
      </c>
      <c r="F49" s="16" t="str">
        <f>IF(ISBLANK(A49), "", IFERROR(INDEX('Price list'!B:B, MATCH(LEFT(UPPER(SUBSTITUTE(A49, " ", "")), 8) &amp; "*", 'Price list'!F:F, 0)), ""))</f>
        <v>SMRT1329</v>
      </c>
      <c r="G49" s="18">
        <f>IF(ISBLANK(A49), "", IFERROR(INDEX('Price list'!C:C, MATCH(LEFT(UPPER(SUBSTITUTE(A49, " ", "")), 8) &amp; "*", 'Price list'!F:F, 0)), 0))</f>
        <v>559</v>
      </c>
      <c r="H49" s="19">
        <f>IF(ISBLANK(A49), "", IFERROR(INDEX('Price list'!E:E, MATCH(LEFT(UPPER(SUBSTITUTE(A49, " ", "")), 8) &amp; "*", 'Price list'!F:F, 0)), 0))</f>
        <v>0.05</v>
      </c>
      <c r="I49" s="17">
        <f>IF(ISBLANK(A49), "", IFERROR(INDEX('Price list'!D:D, MATCH(LEFT(UPPER(SUBSTITUTE(A49, " ", "")), 8) &amp; "*", 'Price list'!F:F, 0)), ""))</f>
        <v>95030020</v>
      </c>
      <c r="J49" s="19"/>
      <c r="K49" s="18">
        <f>IF(ISBLANK(A49), "", ROUND(G49*C49*J49,2))</f>
        <v>0</v>
      </c>
      <c r="L49" s="18">
        <f>IF(ISBLANK(A49), "", (G49*C49)-K49)</f>
        <v>559</v>
      </c>
      <c r="M49" s="16" t="str">
        <f>IF(ISBLANK(A49), "", IF(F49="", "⚠️ SKU not found in Price List", IF(ROUND(E49,2)&lt;&gt;ROUND(G49,2), "⚠️ Price Mismatch! (PO: " &amp; TEXT(E49,"#,##0.00") &amp; ", List: " &amp; TEXT(G49,"#,##0.00") &amp; ")", "✅ OK")))</f>
        <v>✅ OK</v>
      </c>
      <c r="N49" s="16"/>
    </row>
    <row r="50" spans="1:14" ht="15" thickBot="1" x14ac:dyDescent="0.35">
      <c r="A50" s="16" t="s">
        <v>174</v>
      </c>
      <c r="B50" s="16" t="s">
        <v>298</v>
      </c>
      <c r="C50" s="17">
        <v>1</v>
      </c>
      <c r="D50" s="17">
        <v>0</v>
      </c>
      <c r="E50" s="18">
        <v>649</v>
      </c>
      <c r="F50" s="16" t="str">
        <f>IF(ISBLANK(A50), "", IFERROR(INDEX('Price list'!B:B, MATCH(LEFT(UPPER(SUBSTITUTE(A50, " ", "")), 8) &amp; "*", 'Price list'!F:F, 0)), ""))</f>
        <v>SMRT1335</v>
      </c>
      <c r="G50" s="18">
        <f>IF(ISBLANK(A50), "", IFERROR(INDEX('Price list'!C:C, MATCH(LEFT(UPPER(SUBSTITUTE(A50, " ", "")), 8) &amp; "*", 'Price list'!F:F, 0)), 0))</f>
        <v>649</v>
      </c>
      <c r="H50" s="19">
        <f>IF(ISBLANK(A50), "", IFERROR(INDEX('Price list'!E:E, MATCH(LEFT(UPPER(SUBSTITUTE(A50, " ", "")), 8) &amp; "*", 'Price list'!F:F, 0)), 0))</f>
        <v>0.05</v>
      </c>
      <c r="I50" s="17">
        <f>IF(ISBLANK(A50), "", IFERROR(INDEX('Price list'!D:D, MATCH(LEFT(UPPER(SUBSTITUTE(A50, " ", "")), 8) &amp; "*", 'Price list'!F:F, 0)), ""))</f>
        <v>95030020</v>
      </c>
      <c r="J50" s="19"/>
      <c r="K50" s="18">
        <f>IF(ISBLANK(A50), "", ROUND(G50*C50*J50,2))</f>
        <v>0</v>
      </c>
      <c r="L50" s="18">
        <f>IF(ISBLANK(A50), "", (G50*C50)-K50)</f>
        <v>649</v>
      </c>
      <c r="M50" s="16" t="str">
        <f>IF(ISBLANK(A50), "", IF(F50="", "⚠️ SKU not found in Price List", IF(ROUND(E50,2)&lt;&gt;ROUND(G50,2), "⚠️ Price Mismatch! (PO: " &amp; TEXT(E50,"#,##0.00") &amp; ", List: " &amp; TEXT(G50,"#,##0.00") &amp; ")", "✅ OK")))</f>
        <v>✅ OK</v>
      </c>
      <c r="N50" s="16"/>
    </row>
    <row r="51" spans="1:14" ht="17.399999999999999" thickBot="1" x14ac:dyDescent="0.45">
      <c r="A51" s="15" t="s">
        <v>299</v>
      </c>
      <c r="B51" s="15"/>
      <c r="C51" s="8">
        <f>SUM(C11:C50)</f>
        <v>49</v>
      </c>
      <c r="D51" s="8">
        <f>SUM(D11:D50)</f>
        <v>0</v>
      </c>
      <c r="E51" s="9"/>
      <c r="F51" s="10"/>
      <c r="G51" s="9"/>
      <c r="H51" s="11"/>
      <c r="I51" s="8"/>
      <c r="J51" s="11"/>
      <c r="K51" s="9">
        <f>SUM(K11:K50)</f>
        <v>0</v>
      </c>
      <c r="L51" s="9">
        <f>SUM(L11:L50)</f>
        <v>49681</v>
      </c>
      <c r="M51" s="16"/>
      <c r="N51" s="16"/>
    </row>
    <row r="52" spans="1:14" x14ac:dyDescent="0.3">
      <c r="A52" s="16"/>
      <c r="B52" s="16"/>
      <c r="C52" s="17"/>
      <c r="D52" s="17"/>
      <c r="E52" s="18"/>
      <c r="F52" s="16"/>
      <c r="G52" s="18"/>
      <c r="H52" s="19"/>
      <c r="I52" s="17"/>
      <c r="J52" s="19"/>
      <c r="K52" s="18"/>
      <c r="L52" s="18"/>
      <c r="M52" s="16"/>
      <c r="N52" s="16"/>
    </row>
    <row r="53" spans="1:14" x14ac:dyDescent="0.3">
      <c r="A53" s="16"/>
      <c r="B53" s="16"/>
      <c r="C53" s="17"/>
      <c r="D53" s="17"/>
      <c r="E53" s="18"/>
      <c r="F53" s="16"/>
      <c r="G53" s="18"/>
      <c r="H53" s="19"/>
      <c r="I53" s="17"/>
      <c r="J53" s="19"/>
      <c r="K53" s="18"/>
      <c r="L53" s="18"/>
      <c r="M53" s="16"/>
      <c r="N53" s="16"/>
    </row>
    <row r="54" spans="1:14" x14ac:dyDescent="0.3">
      <c r="A54" s="16"/>
      <c r="B54" s="16"/>
      <c r="C54" s="17"/>
      <c r="D54" s="17"/>
      <c r="E54" s="18"/>
      <c r="F54" s="16"/>
      <c r="G54" s="18"/>
      <c r="H54" s="19"/>
      <c r="I54" s="17"/>
      <c r="J54" s="19"/>
      <c r="K54" s="18"/>
      <c r="L54" s="18"/>
      <c r="M54" s="16"/>
      <c r="N54" s="16"/>
    </row>
    <row r="55" spans="1:14" x14ac:dyDescent="0.3">
      <c r="A55" s="16"/>
      <c r="B55" s="16"/>
      <c r="C55" s="17"/>
      <c r="D55" s="17"/>
      <c r="E55" s="18"/>
      <c r="F55" s="16"/>
      <c r="G55" s="18"/>
      <c r="H55" s="19"/>
      <c r="I55" s="17"/>
      <c r="J55" s="19"/>
      <c r="K55" s="18"/>
      <c r="L55" s="18"/>
      <c r="M55" s="16"/>
      <c r="N55" s="16"/>
    </row>
    <row r="56" spans="1:14" x14ac:dyDescent="0.3">
      <c r="A56" s="16"/>
      <c r="B56" s="16"/>
      <c r="C56" s="17"/>
      <c r="D56" s="17"/>
      <c r="E56" s="18"/>
      <c r="F56" s="16"/>
      <c r="G56" s="18"/>
      <c r="H56" s="19"/>
      <c r="I56" s="17"/>
      <c r="J56" s="19"/>
      <c r="K56" s="18"/>
      <c r="L56" s="18"/>
      <c r="M56" s="16"/>
      <c r="N56" s="16"/>
    </row>
    <row r="57" spans="1:14" x14ac:dyDescent="0.3">
      <c r="A57" s="16"/>
      <c r="B57" s="16"/>
      <c r="C57" s="17"/>
      <c r="D57" s="17"/>
      <c r="E57" s="18"/>
      <c r="F57" s="16"/>
      <c r="G57" s="18"/>
      <c r="H57" s="19"/>
      <c r="I57" s="17"/>
      <c r="J57" s="19"/>
      <c r="K57" s="18"/>
      <c r="L57" s="18"/>
      <c r="M57" s="16"/>
      <c r="N57" s="16"/>
    </row>
    <row r="58" spans="1:14" x14ac:dyDescent="0.3">
      <c r="A58" s="16"/>
      <c r="B58" s="16"/>
      <c r="C58" s="17"/>
      <c r="D58" s="17"/>
      <c r="E58" s="18"/>
      <c r="F58" s="16"/>
      <c r="G58" s="18"/>
      <c r="H58" s="19"/>
      <c r="I58" s="17"/>
      <c r="J58" s="19"/>
      <c r="K58" s="18"/>
      <c r="L58" s="18"/>
      <c r="M58" s="16"/>
      <c r="N58" s="16"/>
    </row>
    <row r="59" spans="1:14" x14ac:dyDescent="0.3">
      <c r="A59" s="16"/>
      <c r="B59" s="16"/>
      <c r="C59" s="17"/>
      <c r="D59" s="17"/>
      <c r="E59" s="18"/>
      <c r="F59" s="16"/>
      <c r="G59" s="18"/>
      <c r="H59" s="19"/>
      <c r="I59" s="17"/>
      <c r="J59" s="19"/>
      <c r="K59" s="18"/>
      <c r="L59" s="18"/>
      <c r="M59" s="16"/>
      <c r="N59" s="16"/>
    </row>
    <row r="60" spans="1:14" x14ac:dyDescent="0.3">
      <c r="A60" s="16"/>
      <c r="B60" s="16"/>
      <c r="C60" s="17"/>
      <c r="D60" s="17"/>
      <c r="E60" s="18"/>
      <c r="F60" s="16"/>
      <c r="G60" s="18"/>
      <c r="H60" s="19"/>
      <c r="I60" s="17"/>
      <c r="J60" s="19"/>
      <c r="K60" s="18"/>
      <c r="L60" s="18"/>
      <c r="M60" s="16"/>
      <c r="N60" s="16"/>
    </row>
    <row r="61" spans="1:14" x14ac:dyDescent="0.3">
      <c r="A61" s="16"/>
      <c r="B61" s="16"/>
      <c r="C61" s="17"/>
      <c r="D61" s="17"/>
      <c r="E61" s="18"/>
      <c r="F61" s="16"/>
      <c r="G61" s="18"/>
      <c r="H61" s="19"/>
      <c r="I61" s="17"/>
      <c r="J61" s="19"/>
      <c r="K61" s="18"/>
      <c r="L61" s="18"/>
      <c r="M61" s="16"/>
      <c r="N61" s="16"/>
    </row>
    <row r="62" spans="1:14" x14ac:dyDescent="0.3">
      <c r="A62" s="16"/>
      <c r="B62" s="16"/>
      <c r="C62" s="17"/>
      <c r="D62" s="17"/>
      <c r="E62" s="18"/>
      <c r="F62" s="16"/>
      <c r="G62" s="18"/>
      <c r="H62" s="19"/>
      <c r="I62" s="17"/>
      <c r="J62" s="19"/>
      <c r="K62" s="18"/>
      <c r="L62" s="18"/>
      <c r="M62" s="16"/>
      <c r="N62" s="16"/>
    </row>
    <row r="63" spans="1:14" x14ac:dyDescent="0.3">
      <c r="A63" s="16"/>
      <c r="B63" s="16"/>
      <c r="C63" s="17"/>
      <c r="D63" s="17"/>
      <c r="E63" s="18"/>
      <c r="F63" s="16"/>
      <c r="G63" s="18"/>
      <c r="H63" s="19"/>
      <c r="I63" s="17"/>
      <c r="J63" s="19"/>
      <c r="K63" s="18"/>
      <c r="L63" s="18"/>
      <c r="M63" s="16"/>
      <c r="N63" s="16"/>
    </row>
    <row r="64" spans="1:14" x14ac:dyDescent="0.3">
      <c r="A64" s="16"/>
      <c r="B64" s="16"/>
      <c r="C64" s="17"/>
      <c r="D64" s="17"/>
      <c r="E64" s="18"/>
      <c r="F64" s="16"/>
      <c r="G64" s="18"/>
      <c r="H64" s="19"/>
      <c r="I64" s="17"/>
      <c r="J64" s="19"/>
      <c r="K64" s="18"/>
      <c r="L64" s="18"/>
      <c r="M64" s="16"/>
      <c r="N64" s="16"/>
    </row>
    <row r="65" spans="1:14" x14ac:dyDescent="0.3">
      <c r="A65" s="16"/>
      <c r="B65" s="16"/>
      <c r="C65" s="17"/>
      <c r="D65" s="17"/>
      <c r="E65" s="18"/>
      <c r="F65" s="16"/>
      <c r="G65" s="18"/>
      <c r="H65" s="19"/>
      <c r="I65" s="17"/>
      <c r="J65" s="19"/>
      <c r="K65" s="18"/>
      <c r="L65" s="18"/>
      <c r="M65" s="16"/>
      <c r="N65" s="16"/>
    </row>
    <row r="66" spans="1:14" x14ac:dyDescent="0.3">
      <c r="A66" s="16"/>
      <c r="B66" s="16"/>
      <c r="C66" s="17"/>
      <c r="D66" s="17"/>
      <c r="E66" s="18"/>
      <c r="F66" s="16"/>
      <c r="G66" s="18"/>
      <c r="H66" s="19"/>
      <c r="I66" s="17"/>
      <c r="J66" s="19"/>
      <c r="K66" s="18"/>
      <c r="L66" s="18"/>
      <c r="M66" s="16"/>
      <c r="N66" s="16"/>
    </row>
    <row r="67" spans="1:14" x14ac:dyDescent="0.3">
      <c r="A67" s="16"/>
      <c r="B67" s="16"/>
      <c r="C67" s="17"/>
      <c r="D67" s="17"/>
      <c r="E67" s="18"/>
      <c r="F67" s="16"/>
      <c r="G67" s="18"/>
      <c r="H67" s="19"/>
      <c r="I67" s="17"/>
      <c r="J67" s="19"/>
      <c r="K67" s="18"/>
      <c r="L67" s="18"/>
      <c r="M67" s="16"/>
      <c r="N67" s="16"/>
    </row>
    <row r="68" spans="1:14" x14ac:dyDescent="0.3">
      <c r="A68" s="16"/>
      <c r="B68" s="16"/>
      <c r="C68" s="17"/>
      <c r="D68" s="17"/>
      <c r="E68" s="18"/>
      <c r="F68" s="16"/>
      <c r="G68" s="18"/>
      <c r="H68" s="19"/>
      <c r="I68" s="17"/>
      <c r="J68" s="19"/>
      <c r="K68" s="18"/>
      <c r="L68" s="18"/>
      <c r="M68" s="16"/>
      <c r="N68" s="16"/>
    </row>
    <row r="69" spans="1:14" x14ac:dyDescent="0.3">
      <c r="A69" s="16"/>
      <c r="B69" s="16"/>
      <c r="C69" s="17"/>
      <c r="D69" s="17"/>
      <c r="E69" s="18"/>
      <c r="F69" s="16"/>
      <c r="G69" s="18"/>
      <c r="H69" s="19"/>
      <c r="I69" s="17"/>
      <c r="J69" s="19"/>
      <c r="K69" s="18"/>
      <c r="L69" s="18"/>
      <c r="M69" s="16"/>
      <c r="N69" s="16"/>
    </row>
    <row r="70" spans="1:14" x14ac:dyDescent="0.3">
      <c r="A70" s="16"/>
      <c r="B70" s="16"/>
      <c r="C70" s="17"/>
      <c r="D70" s="17"/>
      <c r="E70" s="18"/>
      <c r="F70" s="16"/>
      <c r="G70" s="18"/>
      <c r="H70" s="19"/>
      <c r="I70" s="17"/>
      <c r="J70" s="19"/>
      <c r="K70" s="18"/>
      <c r="L70" s="18"/>
      <c r="M70" s="16"/>
      <c r="N70" s="16"/>
    </row>
    <row r="71" spans="1:14" x14ac:dyDescent="0.3">
      <c r="A71" s="16"/>
      <c r="B71" s="16"/>
      <c r="C71" s="17"/>
      <c r="D71" s="17"/>
      <c r="E71" s="18"/>
      <c r="F71" s="16"/>
      <c r="G71" s="18"/>
      <c r="H71" s="19"/>
      <c r="I71" s="17"/>
      <c r="J71" s="19"/>
      <c r="K71" s="18"/>
      <c r="L71" s="18"/>
      <c r="M71" s="16"/>
      <c r="N71" s="16"/>
    </row>
    <row r="72" spans="1:14" x14ac:dyDescent="0.3">
      <c r="A72" s="16"/>
      <c r="B72" s="16"/>
      <c r="C72" s="17"/>
      <c r="D72" s="17"/>
      <c r="E72" s="18"/>
      <c r="F72" s="16"/>
      <c r="G72" s="18"/>
      <c r="H72" s="19"/>
      <c r="I72" s="17"/>
      <c r="J72" s="19"/>
      <c r="K72" s="18"/>
      <c r="L72" s="18"/>
      <c r="M72" s="16"/>
      <c r="N72" s="16"/>
    </row>
    <row r="73" spans="1:14" x14ac:dyDescent="0.3">
      <c r="A73" s="16"/>
      <c r="B73" s="16"/>
      <c r="C73" s="17"/>
      <c r="D73" s="17"/>
      <c r="E73" s="18"/>
      <c r="F73" s="16"/>
      <c r="G73" s="18"/>
      <c r="H73" s="19"/>
      <c r="I73" s="17"/>
      <c r="J73" s="19"/>
      <c r="K73" s="18"/>
      <c r="L73" s="18"/>
      <c r="M73" s="16"/>
      <c r="N73" s="16"/>
    </row>
    <row r="74" spans="1:14" x14ac:dyDescent="0.3">
      <c r="A74" s="16"/>
      <c r="B74" s="16"/>
      <c r="C74" s="17"/>
      <c r="D74" s="17"/>
      <c r="E74" s="18"/>
      <c r="F74" s="16"/>
      <c r="G74" s="18"/>
      <c r="H74" s="19"/>
      <c r="I74" s="17"/>
      <c r="J74" s="19"/>
      <c r="K74" s="18"/>
      <c r="L74" s="18"/>
      <c r="M74" s="16"/>
      <c r="N74" s="16"/>
    </row>
    <row r="75" spans="1:14" x14ac:dyDescent="0.3">
      <c r="A75" s="16"/>
      <c r="B75" s="16"/>
      <c r="C75" s="17"/>
      <c r="D75" s="17"/>
      <c r="E75" s="18"/>
      <c r="F75" s="16"/>
      <c r="G75" s="18"/>
      <c r="H75" s="19"/>
      <c r="I75" s="17"/>
      <c r="J75" s="19"/>
      <c r="K75" s="18"/>
      <c r="L75" s="18"/>
      <c r="M75" s="16"/>
      <c r="N75" s="16"/>
    </row>
    <row r="76" spans="1:14" x14ac:dyDescent="0.3">
      <c r="A76" s="16"/>
      <c r="B76" s="16"/>
      <c r="C76" s="17"/>
      <c r="D76" s="17"/>
      <c r="E76" s="18"/>
      <c r="F76" s="16"/>
      <c r="G76" s="18"/>
      <c r="H76" s="19"/>
      <c r="I76" s="17"/>
      <c r="J76" s="19"/>
      <c r="K76" s="18"/>
      <c r="L76" s="18"/>
      <c r="M76" s="16"/>
      <c r="N76" s="16"/>
    </row>
    <row r="77" spans="1:14" x14ac:dyDescent="0.3">
      <c r="A77" s="16"/>
      <c r="B77" s="16"/>
      <c r="C77" s="17"/>
      <c r="D77" s="17"/>
      <c r="E77" s="18"/>
      <c r="F77" s="16"/>
      <c r="G77" s="18"/>
      <c r="H77" s="19"/>
      <c r="I77" s="17"/>
      <c r="J77" s="19"/>
      <c r="K77" s="18"/>
      <c r="L77" s="18"/>
      <c r="M77" s="16"/>
      <c r="N77" s="16"/>
    </row>
    <row r="78" spans="1:14" x14ac:dyDescent="0.3">
      <c r="A78" s="16"/>
      <c r="B78" s="16"/>
      <c r="C78" s="17"/>
      <c r="D78" s="17"/>
      <c r="E78" s="18"/>
      <c r="F78" s="16"/>
      <c r="G78" s="18"/>
      <c r="H78" s="19"/>
      <c r="I78" s="17"/>
      <c r="J78" s="19"/>
      <c r="K78" s="18"/>
      <c r="L78" s="18"/>
      <c r="M78" s="16"/>
      <c r="N78" s="16"/>
    </row>
    <row r="79" spans="1:14" x14ac:dyDescent="0.3">
      <c r="A79" s="16"/>
      <c r="B79" s="16"/>
      <c r="C79" s="17"/>
      <c r="D79" s="17"/>
      <c r="E79" s="18"/>
      <c r="F79" s="16"/>
      <c r="G79" s="18"/>
      <c r="H79" s="19"/>
      <c r="I79" s="17"/>
      <c r="J79" s="19"/>
      <c r="K79" s="18"/>
      <c r="L79" s="18"/>
      <c r="M79" s="16"/>
      <c r="N79" s="16"/>
    </row>
    <row r="80" spans="1:14" x14ac:dyDescent="0.3">
      <c r="A80" s="16"/>
      <c r="B80" s="16"/>
      <c r="C80" s="17"/>
      <c r="D80" s="17"/>
      <c r="E80" s="18"/>
      <c r="F80" s="16"/>
      <c r="G80" s="18"/>
      <c r="H80" s="19"/>
      <c r="I80" s="17"/>
      <c r="J80" s="19"/>
      <c r="K80" s="18"/>
      <c r="L80" s="18"/>
      <c r="M80" s="16"/>
      <c r="N80" s="16"/>
    </row>
    <row r="81" spans="1:14" x14ac:dyDescent="0.3">
      <c r="A81" s="16"/>
      <c r="B81" s="16"/>
      <c r="C81" s="17"/>
      <c r="D81" s="17"/>
      <c r="E81" s="18"/>
      <c r="F81" s="16"/>
      <c r="G81" s="18"/>
      <c r="H81" s="19"/>
      <c r="I81" s="17"/>
      <c r="J81" s="19"/>
      <c r="K81" s="18"/>
      <c r="L81" s="18"/>
      <c r="M81" s="16"/>
      <c r="N81" s="16"/>
    </row>
    <row r="82" spans="1:14" x14ac:dyDescent="0.3">
      <c r="A82" s="16"/>
      <c r="B82" s="16"/>
      <c r="C82" s="17"/>
      <c r="D82" s="17"/>
      <c r="E82" s="18"/>
      <c r="F82" s="16"/>
      <c r="G82" s="18"/>
      <c r="H82" s="19"/>
      <c r="I82" s="17"/>
      <c r="J82" s="19"/>
      <c r="K82" s="18"/>
      <c r="L82" s="18"/>
      <c r="M82" s="16"/>
      <c r="N82" s="16"/>
    </row>
    <row r="83" spans="1:14" x14ac:dyDescent="0.3">
      <c r="A83" s="16"/>
      <c r="B83" s="16"/>
      <c r="C83" s="17"/>
      <c r="D83" s="17"/>
      <c r="E83" s="18"/>
      <c r="F83" s="16"/>
      <c r="G83" s="18"/>
      <c r="H83" s="19"/>
      <c r="I83" s="17"/>
      <c r="J83" s="19"/>
      <c r="K83" s="18"/>
      <c r="L83" s="18"/>
      <c r="M83" s="16"/>
      <c r="N83" s="16"/>
    </row>
    <row r="84" spans="1:14" x14ac:dyDescent="0.3">
      <c r="A84" s="16"/>
      <c r="B84" s="16"/>
      <c r="C84" s="17"/>
      <c r="D84" s="17"/>
      <c r="E84" s="18"/>
      <c r="F84" s="16"/>
      <c r="G84" s="18"/>
      <c r="H84" s="19"/>
      <c r="I84" s="17"/>
      <c r="J84" s="19"/>
      <c r="K84" s="18"/>
      <c r="L84" s="18"/>
      <c r="M84" s="16"/>
      <c r="N84" s="16"/>
    </row>
    <row r="85" spans="1:14" x14ac:dyDescent="0.3">
      <c r="A85" s="16"/>
      <c r="B85" s="16"/>
      <c r="C85" s="17"/>
      <c r="D85" s="17"/>
      <c r="E85" s="18"/>
      <c r="F85" s="16"/>
      <c r="G85" s="18"/>
      <c r="H85" s="19"/>
      <c r="I85" s="17"/>
      <c r="J85" s="19"/>
      <c r="K85" s="18"/>
      <c r="L85" s="18"/>
      <c r="M85" s="16"/>
      <c r="N85" s="16"/>
    </row>
    <row r="86" spans="1:14" x14ac:dyDescent="0.3">
      <c r="A86" s="16"/>
      <c r="B86" s="16"/>
      <c r="C86" s="17"/>
      <c r="D86" s="17"/>
      <c r="E86" s="18"/>
      <c r="F86" s="16"/>
      <c r="G86" s="18"/>
      <c r="H86" s="19"/>
      <c r="I86" s="17"/>
      <c r="J86" s="19"/>
      <c r="K86" s="18"/>
      <c r="L86" s="18"/>
      <c r="M86" s="16"/>
      <c r="N86" s="16"/>
    </row>
    <row r="87" spans="1:14" x14ac:dyDescent="0.3">
      <c r="A87" s="16"/>
      <c r="B87" s="16"/>
      <c r="C87" s="17"/>
      <c r="D87" s="17"/>
      <c r="E87" s="18"/>
      <c r="F87" s="16"/>
      <c r="G87" s="18"/>
      <c r="H87" s="19"/>
      <c r="I87" s="17"/>
      <c r="J87" s="19"/>
      <c r="K87" s="18"/>
      <c r="L87" s="18"/>
      <c r="M87" s="16"/>
      <c r="N87" s="16"/>
    </row>
    <row r="88" spans="1:14" x14ac:dyDescent="0.3">
      <c r="A88" s="16"/>
      <c r="B88" s="16"/>
      <c r="C88" s="17"/>
      <c r="D88" s="17"/>
      <c r="E88" s="18"/>
      <c r="F88" s="16"/>
      <c r="G88" s="18"/>
      <c r="H88" s="19"/>
      <c r="I88" s="17"/>
      <c r="J88" s="19"/>
      <c r="K88" s="18"/>
      <c r="L88" s="18"/>
      <c r="M88" s="16"/>
      <c r="N88" s="16"/>
    </row>
    <row r="89" spans="1:14" x14ac:dyDescent="0.3">
      <c r="A89" s="16"/>
      <c r="B89" s="16"/>
      <c r="C89" s="17"/>
      <c r="D89" s="17"/>
      <c r="E89" s="18"/>
      <c r="F89" s="16"/>
      <c r="G89" s="18"/>
      <c r="H89" s="19"/>
      <c r="I89" s="17"/>
      <c r="J89" s="19"/>
      <c r="K89" s="18"/>
      <c r="L89" s="18"/>
      <c r="M89" s="16"/>
      <c r="N89" s="16"/>
    </row>
    <row r="90" spans="1:14" x14ac:dyDescent="0.3">
      <c r="A90" s="16"/>
      <c r="B90" s="16"/>
      <c r="C90" s="17"/>
      <c r="D90" s="17"/>
      <c r="E90" s="18"/>
      <c r="F90" s="16"/>
      <c r="G90" s="18"/>
      <c r="H90" s="19"/>
      <c r="I90" s="17"/>
      <c r="J90" s="19"/>
      <c r="K90" s="18"/>
      <c r="L90" s="18"/>
      <c r="M90" s="16"/>
      <c r="N90" s="16"/>
    </row>
    <row r="91" spans="1:14" x14ac:dyDescent="0.3">
      <c r="A91" s="16"/>
      <c r="B91" s="16"/>
      <c r="C91" s="17"/>
      <c r="D91" s="17"/>
      <c r="E91" s="18"/>
      <c r="F91" s="16"/>
      <c r="G91" s="18"/>
      <c r="H91" s="19"/>
      <c r="I91" s="17"/>
      <c r="J91" s="19"/>
      <c r="K91" s="18"/>
      <c r="L91" s="18"/>
      <c r="M91" s="16"/>
      <c r="N91" s="16"/>
    </row>
    <row r="92" spans="1:14" x14ac:dyDescent="0.3">
      <c r="A92" s="16"/>
      <c r="B92" s="16"/>
      <c r="C92" s="17"/>
      <c r="D92" s="17"/>
      <c r="E92" s="18"/>
      <c r="F92" s="16"/>
      <c r="G92" s="18"/>
      <c r="H92" s="19"/>
      <c r="I92" s="17"/>
      <c r="J92" s="19"/>
      <c r="K92" s="18"/>
      <c r="L92" s="18"/>
      <c r="M92" s="16"/>
      <c r="N92" s="16"/>
    </row>
    <row r="93" spans="1:14" x14ac:dyDescent="0.3">
      <c r="A93" s="16"/>
      <c r="B93" s="16"/>
      <c r="C93" s="17"/>
      <c r="D93" s="17"/>
      <c r="E93" s="18"/>
      <c r="F93" s="16"/>
      <c r="G93" s="18"/>
      <c r="H93" s="19"/>
      <c r="I93" s="17"/>
      <c r="J93" s="19"/>
      <c r="K93" s="18"/>
      <c r="L93" s="18"/>
      <c r="M93" s="16"/>
      <c r="N93" s="16"/>
    </row>
    <row r="94" spans="1:14" x14ac:dyDescent="0.3">
      <c r="A94" s="16"/>
      <c r="B94" s="16"/>
      <c r="C94" s="17"/>
      <c r="D94" s="17"/>
      <c r="E94" s="18"/>
      <c r="F94" s="16"/>
      <c r="G94" s="18"/>
      <c r="H94" s="19"/>
      <c r="I94" s="17"/>
      <c r="J94" s="19"/>
      <c r="K94" s="18"/>
      <c r="L94" s="18"/>
      <c r="M94" s="16"/>
      <c r="N94" s="16"/>
    </row>
    <row r="95" spans="1:14" x14ac:dyDescent="0.3">
      <c r="A95" s="16"/>
      <c r="B95" s="16"/>
      <c r="C95" s="17"/>
      <c r="D95" s="17"/>
      <c r="E95" s="18"/>
      <c r="F95" s="16"/>
      <c r="G95" s="18"/>
      <c r="H95" s="19"/>
      <c r="I95" s="17"/>
      <c r="J95" s="19"/>
      <c r="K95" s="18"/>
      <c r="L95" s="18"/>
      <c r="M95" s="16"/>
      <c r="N95" s="16"/>
    </row>
    <row r="96" spans="1:14" x14ac:dyDescent="0.3">
      <c r="A96" s="16"/>
      <c r="B96" s="16"/>
      <c r="C96" s="17"/>
      <c r="D96" s="17"/>
      <c r="E96" s="18"/>
      <c r="F96" s="16"/>
      <c r="G96" s="18"/>
      <c r="H96" s="19"/>
      <c r="I96" s="17"/>
      <c r="J96" s="19"/>
      <c r="K96" s="18"/>
      <c r="L96" s="18"/>
      <c r="M96" s="16"/>
      <c r="N96" s="16"/>
    </row>
    <row r="97" spans="1:14" x14ac:dyDescent="0.3">
      <c r="A97" s="16"/>
      <c r="B97" s="16"/>
      <c r="C97" s="17"/>
      <c r="D97" s="17"/>
      <c r="E97" s="18"/>
      <c r="F97" s="16"/>
      <c r="G97" s="18"/>
      <c r="H97" s="19"/>
      <c r="I97" s="17"/>
      <c r="J97" s="19"/>
      <c r="K97" s="18"/>
      <c r="L97" s="18"/>
      <c r="M97" s="16"/>
      <c r="N97" s="16"/>
    </row>
    <row r="98" spans="1:14" x14ac:dyDescent="0.3">
      <c r="A98" s="16"/>
      <c r="B98" s="16"/>
      <c r="C98" s="17"/>
      <c r="D98" s="17"/>
      <c r="E98" s="18"/>
      <c r="F98" s="16"/>
      <c r="G98" s="18"/>
      <c r="H98" s="19"/>
      <c r="I98" s="17"/>
      <c r="J98" s="19"/>
      <c r="K98" s="18"/>
      <c r="L98" s="18"/>
      <c r="M98" s="16"/>
      <c r="N98" s="16"/>
    </row>
    <row r="99" spans="1:14" x14ac:dyDescent="0.3">
      <c r="A99" s="16"/>
      <c r="B99" s="16"/>
      <c r="C99" s="17"/>
      <c r="D99" s="17"/>
      <c r="E99" s="18"/>
      <c r="F99" s="16"/>
      <c r="G99" s="18"/>
      <c r="H99" s="19"/>
      <c r="I99" s="17"/>
      <c r="J99" s="19"/>
      <c r="K99" s="18"/>
      <c r="L99" s="18"/>
      <c r="M99" s="16"/>
      <c r="N99" s="16"/>
    </row>
    <row r="100" spans="1:14" x14ac:dyDescent="0.3">
      <c r="A100" s="16"/>
      <c r="B100" s="16"/>
      <c r="C100" s="17"/>
      <c r="D100" s="17"/>
      <c r="E100" s="18"/>
      <c r="F100" s="16"/>
      <c r="G100" s="18"/>
      <c r="H100" s="19"/>
      <c r="I100" s="17"/>
      <c r="J100" s="19"/>
      <c r="K100" s="18"/>
      <c r="L100" s="18"/>
      <c r="M100" s="16"/>
      <c r="N100" s="16"/>
    </row>
    <row r="101" spans="1:14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1:14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  <row r="103" spans="1:14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</row>
    <row r="104" spans="1:14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</row>
    <row r="105" spans="1:14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</row>
    <row r="106" spans="1:14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</row>
    <row r="107" spans="1:14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</row>
    <row r="108" spans="1:14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</row>
    <row r="109" spans="1:14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</row>
    <row r="110" spans="1:14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</row>
    <row r="111" spans="1:14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</row>
    <row r="112" spans="1:14" x14ac:dyDescent="0.3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</row>
    <row r="113" spans="1:14" x14ac:dyDescent="0.3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</row>
    <row r="114" spans="1:14" x14ac:dyDescent="0.3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</row>
    <row r="115" spans="1:14" x14ac:dyDescent="0.3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</row>
    <row r="116" spans="1:14" x14ac:dyDescent="0.3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</row>
    <row r="117" spans="1:14" x14ac:dyDescent="0.3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</row>
    <row r="118" spans="1:14" x14ac:dyDescent="0.3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</row>
    <row r="119" spans="1:14" x14ac:dyDescent="0.3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</row>
    <row r="120" spans="1:14" x14ac:dyDescent="0.3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</row>
    <row r="121" spans="1:14" x14ac:dyDescent="0.3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</row>
    <row r="122" spans="1:14" x14ac:dyDescent="0.3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</row>
    <row r="123" spans="1:14" x14ac:dyDescent="0.3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</row>
    <row r="124" spans="1:14" x14ac:dyDescent="0.3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</row>
    <row r="125" spans="1:14" x14ac:dyDescent="0.3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</row>
    <row r="126" spans="1:14" x14ac:dyDescent="0.3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</row>
    <row r="127" spans="1:14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</row>
    <row r="128" spans="1:14" x14ac:dyDescent="0.3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</row>
    <row r="129" spans="1:14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</row>
    <row r="130" spans="1:14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</row>
    <row r="131" spans="1:14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</row>
    <row r="132" spans="1:14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</row>
    <row r="133" spans="1:14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</row>
    <row r="134" spans="1:14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</row>
    <row r="135" spans="1:14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</row>
    <row r="136" spans="1:14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</row>
    <row r="137" spans="1:14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</row>
    <row r="138" spans="1:14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</row>
    <row r="139" spans="1:14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</row>
    <row r="140" spans="1:14" x14ac:dyDescent="0.3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</row>
    <row r="141" spans="1:14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</row>
    <row r="142" spans="1:14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</row>
    <row r="143" spans="1:14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</row>
    <row r="144" spans="1:14" x14ac:dyDescent="0.3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</row>
    <row r="145" spans="1:14" x14ac:dyDescent="0.3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</row>
    <row r="146" spans="1:14" x14ac:dyDescent="0.3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</row>
    <row r="147" spans="1:14" x14ac:dyDescent="0.3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</row>
    <row r="148" spans="1:14" x14ac:dyDescent="0.3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</row>
    <row r="149" spans="1:14" x14ac:dyDescent="0.3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</row>
    <row r="150" spans="1:14" x14ac:dyDescent="0.3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</row>
  </sheetData>
  <mergeCells count="4">
    <mergeCell ref="C5:F5"/>
    <mergeCell ref="C4:F4"/>
    <mergeCell ref="A1:M1"/>
    <mergeCell ref="A51:B51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G42"/>
  <sheetViews>
    <sheetView workbookViewId="0"/>
  </sheetViews>
  <sheetFormatPr defaultRowHeight="14.4" x14ac:dyDescent="0.3"/>
  <sheetData>
    <row r="2" spans="1:7" x14ac:dyDescent="0.3">
      <c r="A2" t="s">
        <v>55</v>
      </c>
      <c r="C2">
        <v>1</v>
      </c>
      <c r="D2">
        <v>529</v>
      </c>
      <c r="E2">
        <v>0</v>
      </c>
      <c r="G2">
        <v>5</v>
      </c>
    </row>
    <row r="3" spans="1:7" x14ac:dyDescent="0.3">
      <c r="A3" t="s">
        <v>74</v>
      </c>
      <c r="C3">
        <v>1</v>
      </c>
      <c r="D3">
        <v>1249</v>
      </c>
      <c r="E3">
        <v>0</v>
      </c>
      <c r="G3">
        <v>5</v>
      </c>
    </row>
    <row r="4" spans="1:7" x14ac:dyDescent="0.3">
      <c r="A4" t="s">
        <v>75</v>
      </c>
      <c r="C4">
        <v>1</v>
      </c>
      <c r="D4">
        <v>1259</v>
      </c>
      <c r="E4">
        <v>0</v>
      </c>
      <c r="G4">
        <v>18</v>
      </c>
    </row>
    <row r="5" spans="1:7" x14ac:dyDescent="0.3">
      <c r="A5" t="s">
        <v>78</v>
      </c>
      <c r="C5">
        <v>2</v>
      </c>
      <c r="D5">
        <v>1549</v>
      </c>
      <c r="E5">
        <v>0</v>
      </c>
      <c r="G5">
        <v>5</v>
      </c>
    </row>
    <row r="6" spans="1:7" x14ac:dyDescent="0.3">
      <c r="A6" t="s">
        <v>81</v>
      </c>
      <c r="C6">
        <v>1</v>
      </c>
      <c r="D6">
        <v>849</v>
      </c>
      <c r="E6">
        <v>0</v>
      </c>
      <c r="G6">
        <v>5</v>
      </c>
    </row>
    <row r="7" spans="1:7" x14ac:dyDescent="0.3">
      <c r="A7" t="s">
        <v>89</v>
      </c>
      <c r="C7">
        <v>1</v>
      </c>
      <c r="D7">
        <v>1299</v>
      </c>
      <c r="E7">
        <v>0</v>
      </c>
      <c r="G7">
        <v>5</v>
      </c>
    </row>
    <row r="8" spans="1:7" x14ac:dyDescent="0.3">
      <c r="A8" t="s">
        <v>91</v>
      </c>
      <c r="C8">
        <v>2</v>
      </c>
      <c r="D8">
        <v>1159</v>
      </c>
      <c r="E8">
        <v>0</v>
      </c>
      <c r="G8">
        <v>5</v>
      </c>
    </row>
    <row r="9" spans="1:7" x14ac:dyDescent="0.3">
      <c r="A9" t="s">
        <v>98</v>
      </c>
      <c r="C9">
        <v>1</v>
      </c>
      <c r="D9">
        <v>1099</v>
      </c>
      <c r="E9">
        <v>0</v>
      </c>
      <c r="G9">
        <v>5</v>
      </c>
    </row>
    <row r="10" spans="1:7" x14ac:dyDescent="0.3">
      <c r="A10" t="s">
        <v>104</v>
      </c>
      <c r="C10">
        <v>2</v>
      </c>
      <c r="D10">
        <v>1059</v>
      </c>
      <c r="E10">
        <v>0</v>
      </c>
      <c r="G10">
        <v>5</v>
      </c>
    </row>
    <row r="11" spans="1:7" x14ac:dyDescent="0.3">
      <c r="A11" t="s">
        <v>106</v>
      </c>
      <c r="C11">
        <v>2</v>
      </c>
      <c r="D11">
        <v>1399</v>
      </c>
      <c r="E11">
        <v>0</v>
      </c>
      <c r="G11">
        <v>18</v>
      </c>
    </row>
    <row r="12" spans="1:7" x14ac:dyDescent="0.3">
      <c r="A12" t="s">
        <v>115</v>
      </c>
      <c r="C12">
        <v>1</v>
      </c>
      <c r="D12">
        <v>1099</v>
      </c>
      <c r="E12">
        <v>0</v>
      </c>
      <c r="G12">
        <v>18</v>
      </c>
    </row>
    <row r="13" spans="1:7" x14ac:dyDescent="0.3">
      <c r="A13" t="s">
        <v>118</v>
      </c>
      <c r="C13">
        <v>1</v>
      </c>
      <c r="D13">
        <v>1099</v>
      </c>
      <c r="E13">
        <v>0</v>
      </c>
      <c r="G13">
        <v>5</v>
      </c>
    </row>
    <row r="14" spans="1:7" x14ac:dyDescent="0.3">
      <c r="A14" t="s">
        <v>124</v>
      </c>
      <c r="C14">
        <v>1</v>
      </c>
      <c r="D14">
        <v>1699</v>
      </c>
      <c r="E14">
        <v>0</v>
      </c>
      <c r="G14">
        <v>18</v>
      </c>
    </row>
    <row r="15" spans="1:7" x14ac:dyDescent="0.3">
      <c r="A15" t="s">
        <v>140</v>
      </c>
      <c r="C15">
        <v>1</v>
      </c>
      <c r="D15">
        <v>849</v>
      </c>
      <c r="E15">
        <v>0</v>
      </c>
      <c r="G15">
        <v>5</v>
      </c>
    </row>
    <row r="16" spans="1:7" x14ac:dyDescent="0.3">
      <c r="A16" t="s">
        <v>141</v>
      </c>
      <c r="C16">
        <v>1</v>
      </c>
      <c r="D16">
        <v>1099</v>
      </c>
      <c r="E16">
        <v>0</v>
      </c>
      <c r="G16">
        <v>5</v>
      </c>
    </row>
    <row r="17" spans="1:7" x14ac:dyDescent="0.3">
      <c r="A17" t="s">
        <v>142</v>
      </c>
      <c r="C17">
        <v>1</v>
      </c>
      <c r="D17">
        <v>749</v>
      </c>
      <c r="E17">
        <v>0</v>
      </c>
      <c r="G17">
        <v>5</v>
      </c>
    </row>
    <row r="18" spans="1:7" x14ac:dyDescent="0.3">
      <c r="A18" t="s">
        <v>147</v>
      </c>
      <c r="C18">
        <v>1</v>
      </c>
      <c r="D18">
        <v>769</v>
      </c>
      <c r="E18">
        <v>0</v>
      </c>
      <c r="G18">
        <v>5</v>
      </c>
    </row>
    <row r="19" spans="1:7" x14ac:dyDescent="0.3">
      <c r="A19" t="s">
        <v>149</v>
      </c>
      <c r="C19">
        <v>2</v>
      </c>
      <c r="D19">
        <v>1299</v>
      </c>
      <c r="E19">
        <v>0</v>
      </c>
      <c r="G19">
        <v>18</v>
      </c>
    </row>
    <row r="20" spans="1:7" x14ac:dyDescent="0.3">
      <c r="A20" t="s">
        <v>154</v>
      </c>
      <c r="C20">
        <v>1</v>
      </c>
      <c r="D20">
        <v>1099</v>
      </c>
      <c r="E20">
        <v>0</v>
      </c>
      <c r="G20">
        <v>5</v>
      </c>
    </row>
    <row r="21" spans="1:7" x14ac:dyDescent="0.3">
      <c r="A21" t="s">
        <v>155</v>
      </c>
      <c r="C21">
        <v>2</v>
      </c>
      <c r="D21">
        <v>999</v>
      </c>
      <c r="E21">
        <v>0</v>
      </c>
      <c r="G21">
        <v>18</v>
      </c>
    </row>
    <row r="22" spans="1:7" x14ac:dyDescent="0.3">
      <c r="A22" t="s">
        <v>156</v>
      </c>
      <c r="C22">
        <v>3</v>
      </c>
      <c r="D22">
        <v>1149</v>
      </c>
      <c r="E22">
        <v>0</v>
      </c>
      <c r="G22">
        <v>5</v>
      </c>
    </row>
    <row r="23" spans="1:7" x14ac:dyDescent="0.3">
      <c r="A23" t="s">
        <v>158</v>
      </c>
      <c r="C23">
        <v>1</v>
      </c>
      <c r="D23">
        <v>799</v>
      </c>
      <c r="E23">
        <v>0</v>
      </c>
      <c r="G23">
        <v>5</v>
      </c>
    </row>
    <row r="24" spans="1:7" x14ac:dyDescent="0.3">
      <c r="A24" t="s">
        <v>166</v>
      </c>
      <c r="C24">
        <v>2</v>
      </c>
      <c r="D24">
        <v>1499</v>
      </c>
      <c r="E24">
        <v>0</v>
      </c>
      <c r="G24">
        <v>5</v>
      </c>
    </row>
    <row r="25" spans="1:7" x14ac:dyDescent="0.3">
      <c r="A25" t="s">
        <v>173</v>
      </c>
      <c r="C25">
        <v>1</v>
      </c>
      <c r="D25">
        <v>1149</v>
      </c>
      <c r="E25">
        <v>0</v>
      </c>
      <c r="G25">
        <v>5</v>
      </c>
    </row>
    <row r="26" spans="1:7" x14ac:dyDescent="0.3">
      <c r="A26" t="s">
        <v>180</v>
      </c>
      <c r="C26">
        <v>1</v>
      </c>
      <c r="D26">
        <v>1099</v>
      </c>
      <c r="E26">
        <v>0</v>
      </c>
      <c r="G26">
        <v>5</v>
      </c>
    </row>
    <row r="27" spans="1:7" x14ac:dyDescent="0.3">
      <c r="A27" t="s">
        <v>130</v>
      </c>
      <c r="C27">
        <v>1</v>
      </c>
      <c r="D27">
        <v>669</v>
      </c>
      <c r="E27">
        <v>0</v>
      </c>
      <c r="G27">
        <v>5</v>
      </c>
    </row>
    <row r="28" spans="1:7" x14ac:dyDescent="0.3">
      <c r="A28" t="s">
        <v>131</v>
      </c>
      <c r="C28">
        <v>1</v>
      </c>
      <c r="D28">
        <v>869</v>
      </c>
      <c r="E28">
        <v>0</v>
      </c>
      <c r="G28">
        <v>5</v>
      </c>
    </row>
    <row r="29" spans="1:7" x14ac:dyDescent="0.3">
      <c r="A29" t="s">
        <v>132</v>
      </c>
      <c r="C29">
        <v>1</v>
      </c>
      <c r="D29">
        <v>769</v>
      </c>
      <c r="E29">
        <v>0</v>
      </c>
      <c r="G29">
        <v>5</v>
      </c>
    </row>
    <row r="30" spans="1:7" x14ac:dyDescent="0.3">
      <c r="A30" t="s">
        <v>136</v>
      </c>
      <c r="C30">
        <v>1</v>
      </c>
      <c r="D30">
        <v>869</v>
      </c>
      <c r="E30">
        <v>0</v>
      </c>
      <c r="G30">
        <v>5</v>
      </c>
    </row>
    <row r="31" spans="1:7" x14ac:dyDescent="0.3">
      <c r="A31" t="s">
        <v>143</v>
      </c>
      <c r="C31">
        <v>1</v>
      </c>
      <c r="D31">
        <v>579</v>
      </c>
      <c r="E31">
        <v>0</v>
      </c>
      <c r="G31">
        <v>5</v>
      </c>
    </row>
    <row r="32" spans="1:7" x14ac:dyDescent="0.3">
      <c r="A32" t="s">
        <v>150</v>
      </c>
      <c r="C32">
        <v>1</v>
      </c>
      <c r="D32">
        <v>769</v>
      </c>
      <c r="E32">
        <v>0</v>
      </c>
      <c r="G32">
        <v>5</v>
      </c>
    </row>
    <row r="33" spans="1:7" x14ac:dyDescent="0.3">
      <c r="A33" t="s">
        <v>151</v>
      </c>
      <c r="C33">
        <v>1</v>
      </c>
      <c r="D33">
        <v>799</v>
      </c>
      <c r="E33">
        <v>0</v>
      </c>
      <c r="G33">
        <v>5</v>
      </c>
    </row>
    <row r="34" spans="1:7" x14ac:dyDescent="0.3">
      <c r="A34" t="s">
        <v>157</v>
      </c>
      <c r="C34">
        <v>1</v>
      </c>
      <c r="D34">
        <v>869</v>
      </c>
      <c r="E34">
        <v>0</v>
      </c>
      <c r="G34">
        <v>5</v>
      </c>
    </row>
    <row r="35" spans="1:7" x14ac:dyDescent="0.3">
      <c r="A35" t="s">
        <v>160</v>
      </c>
      <c r="C35">
        <v>1</v>
      </c>
      <c r="D35">
        <v>669</v>
      </c>
      <c r="E35">
        <v>0</v>
      </c>
      <c r="G35">
        <v>5</v>
      </c>
    </row>
    <row r="36" spans="1:7" x14ac:dyDescent="0.3">
      <c r="A36" t="s">
        <v>161</v>
      </c>
      <c r="C36">
        <v>1</v>
      </c>
      <c r="D36">
        <v>549</v>
      </c>
      <c r="E36">
        <v>0</v>
      </c>
      <c r="G36">
        <v>5</v>
      </c>
    </row>
    <row r="37" spans="1:7" x14ac:dyDescent="0.3">
      <c r="A37" t="s">
        <v>162</v>
      </c>
      <c r="C37">
        <v>1</v>
      </c>
      <c r="D37">
        <v>669</v>
      </c>
      <c r="E37">
        <v>0</v>
      </c>
      <c r="G37">
        <v>5</v>
      </c>
    </row>
    <row r="38" spans="1:7" x14ac:dyDescent="0.3">
      <c r="A38" t="s">
        <v>169</v>
      </c>
      <c r="C38">
        <v>1</v>
      </c>
      <c r="D38">
        <v>529</v>
      </c>
      <c r="E38">
        <v>0</v>
      </c>
      <c r="G38">
        <v>5</v>
      </c>
    </row>
    <row r="39" spans="1:7" x14ac:dyDescent="0.3">
      <c r="A39" t="s">
        <v>170</v>
      </c>
      <c r="C39">
        <v>1</v>
      </c>
      <c r="D39">
        <v>699</v>
      </c>
      <c r="E39">
        <v>0</v>
      </c>
      <c r="G39">
        <v>5</v>
      </c>
    </row>
    <row r="40" spans="1:7" x14ac:dyDescent="0.3">
      <c r="A40" t="s">
        <v>171</v>
      </c>
      <c r="C40">
        <v>1</v>
      </c>
      <c r="D40">
        <v>559</v>
      </c>
      <c r="E40">
        <v>0</v>
      </c>
      <c r="G40">
        <v>5</v>
      </c>
    </row>
    <row r="41" spans="1:7" x14ac:dyDescent="0.3">
      <c r="A41" t="s">
        <v>174</v>
      </c>
      <c r="C41">
        <v>1</v>
      </c>
      <c r="D41">
        <v>649</v>
      </c>
      <c r="E41">
        <v>0</v>
      </c>
      <c r="G41">
        <v>5</v>
      </c>
    </row>
    <row r="42" spans="1:7" x14ac:dyDescent="0.3">
      <c r="A42" t="s">
        <v>299</v>
      </c>
      <c r="C42">
        <v>49</v>
      </c>
      <c r="D42">
        <v>0</v>
      </c>
      <c r="E42">
        <v>0</v>
      </c>
      <c r="G42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abSelected="1"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3"/>
  <sheetViews>
    <sheetView workbookViewId="0">
      <selection activeCell="I19" sqref="I19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2026-08-18T07:38:37Z</dcterms:modified>
</cp:coreProperties>
</file>