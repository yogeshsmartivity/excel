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1C1E6446-81F7-4C85-A987-8BC8A935036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D39" i="1"/>
  <c r="C39" i="1"/>
  <c r="I38" i="1"/>
  <c r="H38" i="1"/>
  <c r="J38" i="1" s="1"/>
  <c r="G38" i="1"/>
  <c r="F38" i="1"/>
  <c r="I37" i="1"/>
  <c r="H37" i="1"/>
  <c r="J37" i="1" s="1"/>
  <c r="G37" i="1"/>
  <c r="F37" i="1"/>
  <c r="I36" i="1"/>
  <c r="H36" i="1"/>
  <c r="J36" i="1" s="1"/>
  <c r="G36" i="1"/>
  <c r="F36" i="1"/>
  <c r="I35" i="1"/>
  <c r="H35" i="1"/>
  <c r="J35" i="1" s="1"/>
  <c r="G35" i="1"/>
  <c r="F35" i="1"/>
  <c r="I34" i="1"/>
  <c r="H34" i="1"/>
  <c r="J34" i="1" s="1"/>
  <c r="G34" i="1"/>
  <c r="F34" i="1"/>
  <c r="I33" i="1"/>
  <c r="H33" i="1"/>
  <c r="J33" i="1" s="1"/>
  <c r="G33" i="1"/>
  <c r="F33" i="1"/>
  <c r="I32" i="1"/>
  <c r="H32" i="1"/>
  <c r="J32" i="1" s="1"/>
  <c r="G32" i="1"/>
  <c r="F32" i="1"/>
  <c r="I31" i="1"/>
  <c r="H31" i="1"/>
  <c r="J31" i="1" s="1"/>
  <c r="G31" i="1"/>
  <c r="F31" i="1"/>
  <c r="I30" i="1"/>
  <c r="H30" i="1"/>
  <c r="J30" i="1" s="1"/>
  <c r="G30" i="1"/>
  <c r="F30" i="1"/>
  <c r="I29" i="1"/>
  <c r="H29" i="1"/>
  <c r="J29" i="1" s="1"/>
  <c r="G29" i="1"/>
  <c r="F29" i="1"/>
  <c r="I28" i="1"/>
  <c r="H28" i="1"/>
  <c r="J28" i="1" s="1"/>
  <c r="G28" i="1"/>
  <c r="F28" i="1"/>
  <c r="I27" i="1"/>
  <c r="H27" i="1"/>
  <c r="J27" i="1" s="1"/>
  <c r="G27" i="1"/>
  <c r="F27" i="1"/>
  <c r="I26" i="1"/>
  <c r="H26" i="1"/>
  <c r="J26" i="1" s="1"/>
  <c r="G26" i="1"/>
  <c r="F26" i="1"/>
  <c r="I25" i="1"/>
  <c r="H25" i="1"/>
  <c r="J25" i="1" s="1"/>
  <c r="G25" i="1"/>
  <c r="F25" i="1"/>
  <c r="I24" i="1"/>
  <c r="H24" i="1"/>
  <c r="J24" i="1" s="1"/>
  <c r="G24" i="1"/>
  <c r="F24" i="1"/>
  <c r="I23" i="1"/>
  <c r="H23" i="1"/>
  <c r="J23" i="1" s="1"/>
  <c r="G23" i="1"/>
  <c r="F23" i="1"/>
  <c r="I22" i="1"/>
  <c r="H22" i="1"/>
  <c r="J22" i="1" s="1"/>
  <c r="G22" i="1"/>
  <c r="F22" i="1"/>
  <c r="I21" i="1"/>
  <c r="H21" i="1"/>
  <c r="J21" i="1" s="1"/>
  <c r="G21" i="1"/>
  <c r="F21" i="1"/>
  <c r="I20" i="1"/>
  <c r="H20" i="1"/>
  <c r="J20" i="1" s="1"/>
  <c r="G20" i="1"/>
  <c r="F20" i="1"/>
  <c r="I19" i="1"/>
  <c r="H19" i="1"/>
  <c r="J19" i="1" s="1"/>
  <c r="G19" i="1"/>
  <c r="F19" i="1"/>
  <c r="I18" i="1"/>
  <c r="H18" i="1"/>
  <c r="J18" i="1" s="1"/>
  <c r="G18" i="1"/>
  <c r="F18" i="1"/>
  <c r="I17" i="1"/>
  <c r="H17" i="1"/>
  <c r="J17" i="1" s="1"/>
  <c r="G17" i="1"/>
  <c r="F17" i="1"/>
  <c r="I16" i="1"/>
  <c r="H16" i="1"/>
  <c r="J16" i="1" s="1"/>
  <c r="G16" i="1"/>
  <c r="F16" i="1"/>
  <c r="I15" i="1"/>
  <c r="H15" i="1"/>
  <c r="J15" i="1" s="1"/>
  <c r="G15" i="1"/>
  <c r="F15" i="1"/>
  <c r="I14" i="1"/>
  <c r="H14" i="1"/>
  <c r="J14" i="1" s="1"/>
  <c r="G14" i="1"/>
  <c r="F14" i="1"/>
  <c r="I13" i="1"/>
  <c r="H13" i="1"/>
  <c r="J13" i="1" s="1"/>
  <c r="G13" i="1"/>
  <c r="F13" i="1"/>
  <c r="I12" i="1"/>
  <c r="H12" i="1"/>
  <c r="J12" i="1" s="1"/>
  <c r="G12" i="1"/>
  <c r="F12" i="1"/>
  <c r="I11" i="1"/>
  <c r="H11" i="1"/>
  <c r="J11" i="1" s="1"/>
  <c r="G11" i="1"/>
  <c r="F11" i="1"/>
  <c r="M26" i="1" l="1"/>
  <c r="M36" i="1"/>
  <c r="M22" i="1"/>
  <c r="K11" i="1"/>
  <c r="L11" i="1" s="1"/>
  <c r="K19" i="1"/>
  <c r="L19" i="1" s="1"/>
  <c r="K22" i="1"/>
  <c r="L22" i="1" s="1"/>
  <c r="M17" i="1"/>
  <c r="M12" i="1"/>
  <c r="M14" i="1"/>
  <c r="M30" i="1"/>
  <c r="K17" i="1"/>
  <c r="L17" i="1" s="1"/>
  <c r="M20" i="1"/>
  <c r="M28" i="1"/>
  <c r="K28" i="1"/>
  <c r="L28" i="1" s="1"/>
  <c r="M34" i="1"/>
  <c r="M15" i="1"/>
  <c r="M18" i="1"/>
  <c r="M29" i="1"/>
  <c r="M13" i="1"/>
  <c r="K24" i="1"/>
  <c r="L24" i="1" s="1"/>
  <c r="K35" i="1"/>
  <c r="L35" i="1" s="1"/>
  <c r="M16" i="1"/>
  <c r="M33" i="1"/>
  <c r="M38" i="1"/>
  <c r="K13" i="1"/>
  <c r="L13" i="1" s="1"/>
  <c r="M11" i="1"/>
  <c r="K33" i="1"/>
  <c r="L33" i="1" s="1"/>
  <c r="M25" i="1"/>
  <c r="K25" i="1"/>
  <c r="L25" i="1" s="1"/>
  <c r="K34" i="1"/>
  <c r="L34" i="1" s="1"/>
  <c r="K14" i="1"/>
  <c r="L14" i="1" s="1"/>
  <c r="M23" i="1"/>
  <c r="K29" i="1"/>
  <c r="L29" i="1" s="1"/>
  <c r="M37" i="1"/>
  <c r="K23" i="1"/>
  <c r="L23" i="1" s="1"/>
  <c r="K32" i="1"/>
  <c r="L32" i="1" s="1"/>
  <c r="M35" i="1"/>
  <c r="M27" i="1"/>
  <c r="K36" i="1"/>
  <c r="L36" i="1" s="1"/>
  <c r="K21" i="1"/>
  <c r="L21" i="1" s="1"/>
  <c r="M24" i="1"/>
  <c r="K30" i="1"/>
  <c r="L30" i="1" s="1"/>
  <c r="K16" i="1"/>
  <c r="L16" i="1" s="1"/>
  <c r="K38" i="1"/>
  <c r="L38" i="1" s="1"/>
  <c r="K20" i="1"/>
  <c r="L20" i="1" s="1"/>
  <c r="K31" i="1"/>
  <c r="L31" i="1" s="1"/>
  <c r="K12" i="1"/>
  <c r="L12" i="1" s="1"/>
  <c r="K18" i="1"/>
  <c r="L18" i="1" s="1"/>
  <c r="M21" i="1"/>
  <c r="K27" i="1"/>
  <c r="L27" i="1" s="1"/>
  <c r="K15" i="1"/>
  <c r="L15" i="1" s="1"/>
  <c r="K26" i="1"/>
  <c r="L26" i="1" s="1"/>
  <c r="M31" i="1"/>
  <c r="K37" i="1"/>
  <c r="L37" i="1" s="1"/>
  <c r="K39" i="1" l="1"/>
  <c r="K5" i="1" s="1"/>
  <c r="L39" i="1"/>
  <c r="H5" i="1" s="1"/>
</calcChain>
</file>

<file path=xl/sharedStrings.xml><?xml version="1.0" encoding="utf-8"?>
<sst xmlns="http://schemas.openxmlformats.org/spreadsheetml/2006/main" count="653" uniqueCount="315">
  <si>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</si>
  <si>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</si>
  <si>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</si>
  <si>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</si>
  <si>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</si>
  <si>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</si>
  <si>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</si>
  <si>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</si>
  <si>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</si>
  <si>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</si>
  <si>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</si>
  <si>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</si>
  <si>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</si>
  <si>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</si>
  <si>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</si>
  <si>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</si>
  <si>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</si>
  <si>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</si>
  <si>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</si>
  <si>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</si>
  <si>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</si>
  <si>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</si>
  <si>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</si>
  <si>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</si>
  <si>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</si>
  <si>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</si>
  <si>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</si>
  <si>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</si>
  <si>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</si>
  <si>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</si>
  <si>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</si>
  <si>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</si>
  <si>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</si>
  <si>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</si>
  <si>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</si>
  <si>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</si>
  <si>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</si>
  <si>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</si>
  <si>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</si>
  <si>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</si>
  <si>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</si>
  <si>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</si>
  <si>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</si>
  <si>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</si>
  <si>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</si>
  <si>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</si>
  <si>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</si>
  <si>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</si>
  <si>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</si>
  <si>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</si>
  <si>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</si>
  <si>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</si>
  <si>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</si>
  <si>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</si>
  <si>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</si>
  <si>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</si>
  <si>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</si>
  <si>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</si>
  <si>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</si>
  <si>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</si>
  <si>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</si>
  <si>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</si>
  <si>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</si>
  <si>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</si>
  <si>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</si>
  <si>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</si>
  <si>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</si>
  <si>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</si>
  <si>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</si>
  <si>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</si>
  <si>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</si>
  <si>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</si>
  <si>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</si>
  <si>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</si>
  <si>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</si>
  <si>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</si>
  <si>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</si>
  <si>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</si>
  <si>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</si>
  <si>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</si>
  <si>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</si>
  <si>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</si>
  <si>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</si>
  <si>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</si>
  <si>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</si>
  <si>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</si>
  <si>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</si>
  <si>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</si>
  <si>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</si>
  <si>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</si>
  <si>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</si>
  <si>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</si>
  <si>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</si>
  <si>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</si>
  <si>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</si>
  <si>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</si>
  <si>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</si>
  <si>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</si>
  <si>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</si>
  <si>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</si>
  <si>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</si>
  <si>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</si>
  <si>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</si>
  <si>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</si>
  <si>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</si>
  <si>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</si>
  <si>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</si>
  <si>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</si>
  <si>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</si>
  <si>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</si>
  <si>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</si>
  <si>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</si>
  <si>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</si>
  <si>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</si>
  <si>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</si>
  <si>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</si>
  <si>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</si>
  <si>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</si>
  <si>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</si>
  <si>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</si>
  <si>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</si>
  <si>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</si>
  <si>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</si>
  <si>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</si>
  <si>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</si>
  <si>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</si>
  <si>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</si>
  <si>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</si>
  <si>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</si>
  <si>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</si>
  <si>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</si>
  <si>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</si>
  <si>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</si>
  <si>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</si>
  <si>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</si>
  <si>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</si>
  <si>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</si>
  <si>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</si>
  <si>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</si>
  <si>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</si>
  <si>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</si>
  <si>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</si>
  <si>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</si>
  <si>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</si>
  <si>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</si>
  <si>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</si>
  <si>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</si>
  <si>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</si>
  <si>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</si>
  <si>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</si>
  <si>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</si>
  <si>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</si>
  <si>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</si>
  <si>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</si>
  <si>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</si>
  <si>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</si>
  <si>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</si>
  <si>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</si>
  <si>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</si>
  <si>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</si>
  <si>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</si>
  <si>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</si>
  <si>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</si>
  <si>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</si>
  <si>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</si>
  <si>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</si>
  <si>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</si>
  <si>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</si>
  <si>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</si>
  <si>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</si>
  <si>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</si>
  <si>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</si>
  <si>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</si>
  <si>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</si>
  <si>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</si>
  <si>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</si>
  <si>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</si>
  <si>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</si>
  <si>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</si>
  <si>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</si>
  <si>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</si>
  <si>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</si>
  <si>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</si>
  <si>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</si>
  <si>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</si>
  <si>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</si>
  <si>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</si>
  <si>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</si>
  <si>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</si>
  <si>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</si>
  <si>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</si>
  <si>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</si>
  <si>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</si>
  <si>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</si>
  <si>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</si>
  <si>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</si>
  <si>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</si>
  <si>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</si>
  <si>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</si>
  <si>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</si>
  <si>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</si>
  <si>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</si>
  <si>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</si>
  <si>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</si>
  <si>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</si>
  <si>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</si>
  <si>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</si>
  <si>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</si>
  <si>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</si>
  <si>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</si>
  <si>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</si>
  <si>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</si>
  <si>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</si>
  <si>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</si>
  <si>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</si>
  <si>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</si>
  <si>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</si>
  <si>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</si>
  <si>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</si>
  <si>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</si>
  <si>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</si>
  <si>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</si>
  <si>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</si>
  <si>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</si>
  <si>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</si>
  <si>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</si>
  <si>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</si>
  <si>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</si>
  <si>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</si>
  <si>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</si>
  <si>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</si>
  <si>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</si>
  <si>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</si>
  <si>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</si>
  <si>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</si>
  <si>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</si>
  <si>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</si>
  <si>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</si>
  <si>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</si>
  <si>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</si>
  <si>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</si>
  <si>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</si>
  <si>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</si>
  <si>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</si>
  <si>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</si>
  <si>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</si>
  <si>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</si>
  <si>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</si>
  <si>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</si>
  <si>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</si>
  <si>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</si>
  <si>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</si>
  <si>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</si>
  <si>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</si>
  <si>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</si>
  <si>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</si>
  <si>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</si>
  <si>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</si>
  <si>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</si>
  <si>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</si>
  <si>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</si>
  <si>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</si>
  <si>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</si>
  <si>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</si>
  <si>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</si>
  <si>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</si>
  <si>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</si>
  <si>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</si>
  <si>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</si>
  <si>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</si>
  <si>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</si>
  <si>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</si>
  <si>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</si>
  <si>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</si>
  <si>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</si>
  <si>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</si>
  <si>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</si>
  <si>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</si>
  <si>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</si>
  <si>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</si>
  <si>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</si>
  <si>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</si>
  <si>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TaxPercent</t>
  </si>
  <si>
    <t>Smartivity Pump It Move It Hydraulic Crane</t>
  </si>
  <si>
    <t>Smartivity mechanical hand</t>
  </si>
  <si>
    <t>Smartivity Globetrotters</t>
  </si>
  <si>
    <t>Smartivity Pirate's Telescope</t>
  </si>
  <si>
    <t>Interactive Human Body</t>
  </si>
  <si>
    <t>Robotic Arm</t>
  </si>
  <si>
    <t>Smartivity Space Rover</t>
  </si>
  <si>
    <t>Multiplication Machine</t>
  </si>
  <si>
    <t>STEM Wheels Speedstar</t>
  </si>
  <si>
    <t>✅ Auto-matched SKU (PO: 'SMRT1109')</t>
  </si>
  <si>
    <t>Rocket Launcher</t>
  </si>
  <si>
    <t>Interactive Clock</t>
  </si>
  <si>
    <t>Airplanes Launchers</t>
  </si>
  <si>
    <t>My First Science kit</t>
  </si>
  <si>
    <t>Mega Crystal Earth Science Kit</t>
  </si>
  <si>
    <t>Smartivity Mega Science kit</t>
  </si>
  <si>
    <t>Smartivity Glow Chemistry</t>
  </si>
  <si>
    <t>Magic of Science</t>
  </si>
  <si>
    <t>Shape Coder</t>
  </si>
  <si>
    <t>Sentence Coder</t>
  </si>
  <si>
    <t>Human Body Puzzle</t>
  </si>
  <si>
    <t>Spelling Game</t>
  </si>
  <si>
    <t>Smart Busy Box</t>
  </si>
  <si>
    <t>✅ Auto-matched SKU (PO: 'SMRT1242')</t>
  </si>
  <si>
    <t>Memory On The Go</t>
  </si>
  <si>
    <t>Math Genius</t>
  </si>
  <si>
    <t>My First Calendar</t>
  </si>
  <si>
    <t>Shape Sorter</t>
  </si>
  <si>
    <t>My First Play Box</t>
  </si>
  <si>
    <t>Solar System</t>
  </si>
  <si>
    <t>GRAND TOTAL</t>
  </si>
  <si>
    <t>KASHMIR BOOK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</si>
</sst>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6" borderId="0" xfId="0" applyFont="1" applyFill="1" applyBorder="1"/>
    <xf numFmtId="10" fontId="0" fillId="6" borderId="0" xfId="0" applyNumberFormat="1" applyFont="1" applyFill="1" applyBorder="1"/>
    <xf numFmtId="0" fontId="5" fillId="4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0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28" t="s">
        <v>259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3"/>
    </row>
    <row r="2" spans="1:14" ht="28.05" customHeight="1" x14ac:dyDescent="0.3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3"/>
    </row>
    <row r="3" spans="1:14" ht="7.9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1:14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  <c r="N4" s="23"/>
    </row>
    <row r="5" spans="1:14" ht="22.05" customHeight="1" x14ac:dyDescent="0.3">
      <c r="A5" s="13" t="s">
        <v>314</v>
      </c>
      <c r="B5" s="12"/>
      <c r="C5" s="12"/>
      <c r="D5" s="16">
        <f>COUNTA(A11:A38)</f>
        <v>28</v>
      </c>
      <c r="E5" s="15"/>
      <c r="F5" s="16">
        <f>C39</f>
        <v>28</v>
      </c>
      <c r="G5" s="15"/>
      <c r="H5" s="19">
        <f>L39</f>
        <v>14307.929999999997</v>
      </c>
      <c r="I5" s="18"/>
      <c r="J5" s="18"/>
      <c r="K5" s="22">
        <f>K39</f>
        <v>11084.07</v>
      </c>
      <c r="L5" s="21"/>
      <c r="M5" s="21"/>
      <c r="N5" s="23"/>
    </row>
    <row r="6" spans="1:14" ht="7.95" customHeight="1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</row>
    <row r="7" spans="1:14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</row>
    <row r="8" spans="1:14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</row>
    <row r="9" spans="1:14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</row>
    <row r="10" spans="1:14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4" x14ac:dyDescent="0.3">
      <c r="A11" s="24" t="s">
        <v>14</v>
      </c>
      <c r="B11" s="24" t="s">
        <v>283</v>
      </c>
      <c r="C11" s="24">
        <v>1</v>
      </c>
      <c r="D11" s="24">
        <v>0</v>
      </c>
      <c r="E11" s="24">
        <v>1349</v>
      </c>
      <c r="F11" s="24" t="str">
        <f>IF(ISBLANK(A11), "", IFERROR(INDEX('Price list'!B:B, MATCH(LEFT(UPPER(SUBSTITUTE(A11, " ", "")), 8) &amp; "*", 'Price list'!F:F, 0)), ""))</f>
        <v>SMRT1018</v>
      </c>
      <c r="G11" s="24">
        <f>IF(ISBLANK(A11), "", IFERROR(INDEX('Price list'!C:C, MATCH(LEFT(UPPER(SUBSTITUTE(A11, " ", "")), 8) &amp; "*", 'Price list'!F:F, 0)), 0))</f>
        <v>1349</v>
      </c>
      <c r="H11" s="24">
        <f>IF(ISBLANK(A11), "", IFERROR(INDEX('Price list'!E:E, MATCH(LEFT(UPPER(SUBSTITUTE(A11, " ", "")), 8) &amp; "*", 'Price list'!F:F, 0)), 0))</f>
        <v>0.05</v>
      </c>
      <c r="I11" s="24">
        <f>IF(ISBLANK(A11), "", IFERROR(INDEX('Price list'!D:D, MATCH(LEFT(UPPER(SUBSTITUTE(A11, " ", "")), 8) &amp; "*", 'Price list'!F:F, 0)), ""))</f>
        <v>95030020</v>
      </c>
      <c r="J11" s="25">
        <f>IF(ISBLANK(A11), "", IFERROR(IF(ROUND(H11,2)=0.05, INDEX(discount!C:C, IFERROR(MATCH($A$5, discount!A:A, 0), IFERROR(MATCH("*" &amp; LEFT($A$5, 12) &amp; "*", discount!A:A, 0), MATCH("*" &amp; LEFT($A$5, 6) &amp; "*", discount!A:A, 0)))), IF(ROUND(H11,2)=0.18, INDEX(discount!E:E, IFERROR(MATCH($A$5, discount!A:A, 0), IFERROR(MATCH("*" &amp; LEFT($A$5, 12) &amp; "*", discount!A:A, 0), MATCH("*" &amp; LEFT($A$5, 6) &amp; "*", discount!A:A, 0)))), IF(ROUND(H11,2)=0.12, INDEX(discount!D:D, IFERROR(MATCH($A$5, discount!A:A, 0), IFERROR(MATCH("*" &amp; LEFT($A$5, 12) &amp; "*", discount!A:A, 0), MATCH("*" &amp; LEFT($A$5, 6) &amp; "*", discount!A:A, 0)))), IF(ROUND(H11,2)=0.28,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1" s="24">
        <f>IF(ISBLANK(A11), "", ROUND(G11*C11*J11,2))</f>
        <v>578.17999999999995</v>
      </c>
      <c r="L11" s="24">
        <f>IF(ISBLANK(A11), "", (G11*C11)-K11)</f>
        <v>770.82</v>
      </c>
      <c r="M11" s="24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4"/>
    </row>
    <row r="12" spans="1:14" x14ac:dyDescent="0.3">
      <c r="A12" s="26" t="s">
        <v>74</v>
      </c>
      <c r="B12" s="26" t="s">
        <v>284</v>
      </c>
      <c r="C12" s="26">
        <v>1</v>
      </c>
      <c r="D12" s="26">
        <v>0</v>
      </c>
      <c r="E12" s="26">
        <v>1249</v>
      </c>
      <c r="F12" s="26" t="str">
        <f>IF(ISBLANK(A12), "", IFERROR(INDEX('Price list'!B:B, MATCH(LEFT(UPPER(SUBSTITUTE(A12, " ", "")), 8) &amp; "*", 'Price list'!F:F, 0)), ""))</f>
        <v>SMRT1135</v>
      </c>
      <c r="G12" s="26">
        <f>IF(ISBLANK(A12), "", IFERROR(INDEX('Price list'!C:C, MATCH(LEFT(UPPER(SUBSTITUTE(A12, " ", "")), 8) &amp; "*", 'Price list'!F:F, 0)), 0))</f>
        <v>1249</v>
      </c>
      <c r="H12" s="26">
        <f>IF(ISBLANK(A12), "", IFERROR(INDEX('Price list'!E:E, MATCH(LEFT(UPPER(SUBSTITUTE(A12, " ", "")), 8) &amp; "*", 'Price list'!F:F, 0)), 0))</f>
        <v>0.05</v>
      </c>
      <c r="I12" s="26">
        <f>IF(ISBLANK(A12), "", IFERROR(INDEX('Price list'!D:D, MATCH(LEFT(UPPER(SUBSTITUTE(A12, " ", "")), 8) &amp; "*", 'Price list'!F:F, 0)), ""))</f>
        <v>95030020</v>
      </c>
      <c r="J12" s="27">
        <f>IF(ISBLANK(A12), "", IFERROR(IF(ROUND(H12,2)=0.05, INDEX(discount!C:C, IFERROR(MATCH($A$5, discount!A:A, 0), IFERROR(MATCH("*" &amp; LEFT($A$5, 12) &amp; "*", discount!A:A, 0), MATCH("*" &amp; LEFT($A$5, 6) &amp; "*", discount!A:A, 0)))), IF(ROUND(H12,2)=0.18, INDEX(discount!E:E, IFERROR(MATCH($A$5, discount!A:A, 0), IFERROR(MATCH("*" &amp; LEFT($A$5, 12) &amp; "*", discount!A:A, 0), MATCH("*" &amp; LEFT($A$5, 6) &amp; "*", discount!A:A, 0)))), IF(ROUND(H12,2)=0.12, INDEX(discount!D:D, IFERROR(MATCH($A$5, discount!A:A, 0), IFERROR(MATCH("*" &amp; LEFT($A$5, 12) &amp; "*", discount!A:A, 0), MATCH("*" &amp; LEFT($A$5, 6) &amp; "*", discount!A:A, 0)))), IF(ROUND(H12,2)=0.28,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2" s="26">
        <f>IF(ISBLANK(A12), "", ROUND(G12*C12*J12,2))</f>
        <v>535.32000000000005</v>
      </c>
      <c r="L12" s="26">
        <f>IF(ISBLANK(A12), "", (G12*C12)-K12)</f>
        <v>713.68</v>
      </c>
      <c r="M12" s="24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24"/>
    </row>
    <row r="13" spans="1:14" x14ac:dyDescent="0.3">
      <c r="A13" s="24" t="s">
        <v>78</v>
      </c>
      <c r="B13" s="24" t="s">
        <v>285</v>
      </c>
      <c r="C13" s="24">
        <v>1</v>
      </c>
      <c r="D13" s="24">
        <v>0</v>
      </c>
      <c r="E13" s="24">
        <v>1549</v>
      </c>
      <c r="F13" s="24" t="str">
        <f>IF(ISBLANK(A13), "", IFERROR(INDEX('Price list'!B:B, MATCH(LEFT(UPPER(SUBSTITUTE(A13, " ", "")), 8) &amp; "*", 'Price list'!F:F, 0)), ""))</f>
        <v>SMRT1165</v>
      </c>
      <c r="G13" s="24">
        <f>IF(ISBLANK(A13), "", IFERROR(INDEX('Price list'!C:C, MATCH(LEFT(UPPER(SUBSTITUTE(A13, " ", "")), 8) &amp; "*", 'Price list'!F:F, 0)), 0))</f>
        <v>1549</v>
      </c>
      <c r="H13" s="24">
        <f>IF(ISBLANK(A13), "", IFERROR(INDEX('Price list'!E:E, MATCH(LEFT(UPPER(SUBSTITUTE(A13, " ", "")), 8) &amp; "*", 'Price list'!F:F, 0)), 0))</f>
        <v>0.05</v>
      </c>
      <c r="I13" s="24">
        <f>IF(ISBLANK(A13), "", IFERROR(INDEX('Price list'!D:D, MATCH(LEFT(UPPER(SUBSTITUTE(A13, " ", "")), 8) &amp; "*", 'Price list'!F:F, 0)), ""))</f>
        <v>95030020</v>
      </c>
      <c r="J13" s="25">
        <f>IF(ISBLANK(A13), "", IFERROR(IF(ROUND(H13,2)=0.05, INDEX(discount!C:C, IFERROR(MATCH($A$5, discount!A:A, 0), IFERROR(MATCH("*" &amp; LEFT($A$5, 12) &amp; "*", discount!A:A, 0), MATCH("*" &amp; LEFT($A$5, 6) &amp; "*", discount!A:A, 0)))), IF(ROUND(H13,2)=0.18, INDEX(discount!E:E, IFERROR(MATCH($A$5, discount!A:A, 0), IFERROR(MATCH("*" &amp; LEFT($A$5, 12) &amp; "*", discount!A:A, 0), MATCH("*" &amp; LEFT($A$5, 6) &amp; "*", discount!A:A, 0)))), IF(ROUND(H13,2)=0.12, INDEX(discount!D:D, IFERROR(MATCH($A$5, discount!A:A, 0), IFERROR(MATCH("*" &amp; LEFT($A$5, 12) &amp; "*", discount!A:A, 0), MATCH("*" &amp; LEFT($A$5, 6) &amp; "*", discount!A:A, 0)))), IF(ROUND(H13,2)=0.28,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3" s="24">
        <f>IF(ISBLANK(A13), "", ROUND(G13*C13*J13,2))</f>
        <v>663.9</v>
      </c>
      <c r="L13" s="24">
        <f>IF(ISBLANK(A13), "", (G13*C13)-K13)</f>
        <v>885.1</v>
      </c>
      <c r="M13" s="24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4"/>
    </row>
    <row r="14" spans="1:14" x14ac:dyDescent="0.3">
      <c r="A14" s="26" t="s">
        <v>81</v>
      </c>
      <c r="B14" s="26" t="s">
        <v>286</v>
      </c>
      <c r="C14" s="26">
        <v>1</v>
      </c>
      <c r="D14" s="26">
        <v>0</v>
      </c>
      <c r="E14" s="26">
        <v>849</v>
      </c>
      <c r="F14" s="26" t="str">
        <f>IF(ISBLANK(A14), "", IFERROR(INDEX('Price list'!B:B, MATCH(LEFT(UPPER(SUBSTITUTE(A14, " ", "")), 8) &amp; "*", 'Price list'!F:F, 0)), ""))</f>
        <v>SMRT1174</v>
      </c>
      <c r="G14" s="26">
        <f>IF(ISBLANK(A14), "", IFERROR(INDEX('Price list'!C:C, MATCH(LEFT(UPPER(SUBSTITUTE(A14, " ", "")), 8) &amp; "*", 'Price list'!F:F, 0)), 0))</f>
        <v>849</v>
      </c>
      <c r="H14" s="26">
        <f>IF(ISBLANK(A14), "", IFERROR(INDEX('Price list'!E:E, MATCH(LEFT(UPPER(SUBSTITUTE(A14, " ", "")), 8) &amp; "*", 'Price list'!F:F, 0)), 0))</f>
        <v>0.05</v>
      </c>
      <c r="I14" s="26">
        <f>IF(ISBLANK(A14), "", IFERROR(INDEX('Price list'!D:D, MATCH(LEFT(UPPER(SUBSTITUTE(A14, " ", "")), 8) &amp; "*", 'Price list'!F:F, 0)), ""))</f>
        <v>95030020</v>
      </c>
      <c r="J14" s="27">
        <f>IF(ISBLANK(A14), "", IFERROR(IF(ROUND(H14,2)=0.05, INDEX(discount!C:C, IFERROR(MATCH($A$5, discount!A:A, 0), IFERROR(MATCH("*" &amp; LEFT($A$5, 12) &amp; "*", discount!A:A, 0), MATCH("*" &amp; LEFT($A$5, 6) &amp; "*", discount!A:A, 0)))), IF(ROUND(H14,2)=0.18, INDEX(discount!E:E, IFERROR(MATCH($A$5, discount!A:A, 0), IFERROR(MATCH("*" &amp; LEFT($A$5, 12) &amp; "*", discount!A:A, 0), MATCH("*" &amp; LEFT($A$5, 6) &amp; "*", discount!A:A, 0)))), IF(ROUND(H14,2)=0.12, INDEX(discount!D:D, IFERROR(MATCH($A$5, discount!A:A, 0), IFERROR(MATCH("*" &amp; LEFT($A$5, 12) &amp; "*", discount!A:A, 0), MATCH("*" &amp; LEFT($A$5, 6) &amp; "*", discount!A:A, 0)))), IF(ROUND(H14,2)=0.28,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4" s="26">
        <f>IF(ISBLANK(A14), "", ROUND(G14*C14*J14,2))</f>
        <v>363.88</v>
      </c>
      <c r="L14" s="26">
        <f>IF(ISBLANK(A14), "", (G14*C14)-K14)</f>
        <v>485.12</v>
      </c>
      <c r="M14" s="24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4"/>
    </row>
    <row r="15" spans="1:14" x14ac:dyDescent="0.3">
      <c r="A15" s="24" t="s">
        <v>173</v>
      </c>
      <c r="B15" s="24" t="s">
        <v>287</v>
      </c>
      <c r="C15" s="24">
        <v>1</v>
      </c>
      <c r="D15" s="24">
        <v>0</v>
      </c>
      <c r="E15" s="24">
        <v>1149</v>
      </c>
      <c r="F15" s="24" t="str">
        <f>IF(ISBLANK(A15), "", IFERROR(INDEX('Price list'!B:B, MATCH(LEFT(UPPER(SUBSTITUTE(A15, " ", "")), 8) &amp; "*", 'Price list'!F:F, 0)), ""))</f>
        <v>SMRT1334</v>
      </c>
      <c r="G15" s="24">
        <f>IF(ISBLANK(A15), "", IFERROR(INDEX('Price list'!C:C, MATCH(LEFT(UPPER(SUBSTITUTE(A15, " ", "")), 8) &amp; "*", 'Price list'!F:F, 0)), 0))</f>
        <v>1149</v>
      </c>
      <c r="H15" s="24">
        <f>IF(ISBLANK(A15), "", IFERROR(INDEX('Price list'!E:E, MATCH(LEFT(UPPER(SUBSTITUTE(A15, " ", "")), 8) &amp; "*", 'Price list'!F:F, 0)), 0))</f>
        <v>0.05</v>
      </c>
      <c r="I15" s="24">
        <f>IF(ISBLANK(A15), "", IFERROR(INDEX('Price list'!D:D, MATCH(LEFT(UPPER(SUBSTITUTE(A15, " ", "")), 8) &amp; "*", 'Price list'!F:F, 0)), ""))</f>
        <v>95030020</v>
      </c>
      <c r="J15" s="25">
        <f>IF(ISBLANK(A15), "", IFERROR(IF(ROUND(H15,2)=0.05, INDEX(discount!C:C, IFERROR(MATCH($A$5, discount!A:A, 0), IFERROR(MATCH("*" &amp; LEFT($A$5, 12) &amp; "*", discount!A:A, 0), MATCH("*" &amp; LEFT($A$5, 6) &amp; "*", discount!A:A, 0)))), IF(ROUND(H15,2)=0.18, INDEX(discount!E:E, IFERROR(MATCH($A$5, discount!A:A, 0), IFERROR(MATCH("*" &amp; LEFT($A$5, 12) &amp; "*", discount!A:A, 0), MATCH("*" &amp; LEFT($A$5, 6) &amp; "*", discount!A:A, 0)))), IF(ROUND(H15,2)=0.12, INDEX(discount!D:D, IFERROR(MATCH($A$5, discount!A:A, 0), IFERROR(MATCH("*" &amp; LEFT($A$5, 12) &amp; "*", discount!A:A, 0), MATCH("*" &amp; LEFT($A$5, 6) &amp; "*", discount!A:A, 0)))), IF(ROUND(H15,2)=0.28,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5" s="24">
        <f>IF(ISBLANK(A15), "", ROUND(G15*C15*J15,2))</f>
        <v>492.46</v>
      </c>
      <c r="L15" s="24">
        <f>IF(ISBLANK(A15), "", (G15*C15)-K15)</f>
        <v>656.54</v>
      </c>
      <c r="M15" s="24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24"/>
    </row>
    <row r="16" spans="1:14" x14ac:dyDescent="0.3">
      <c r="A16" s="26" t="s">
        <v>168</v>
      </c>
      <c r="B16" s="26" t="s">
        <v>288</v>
      </c>
      <c r="C16" s="26">
        <v>1</v>
      </c>
      <c r="D16" s="26">
        <v>0</v>
      </c>
      <c r="E16" s="26">
        <v>899</v>
      </c>
      <c r="F16" s="26" t="str">
        <f>IF(ISBLANK(A16), "", IFERROR(INDEX('Price list'!B:B, MATCH(LEFT(UPPER(SUBSTITUTE(A16, " ", "")), 8) &amp; "*", 'Price list'!F:F, 0)), ""))</f>
        <v>SMRT1325</v>
      </c>
      <c r="G16" s="26">
        <f>IF(ISBLANK(A16), "", IFERROR(INDEX('Price list'!C:C, MATCH(LEFT(UPPER(SUBSTITUTE(A16, " ", "")), 8) &amp; "*", 'Price list'!F:F, 0)), 0))</f>
        <v>899</v>
      </c>
      <c r="H16" s="26">
        <f>IF(ISBLANK(A16), "", IFERROR(INDEX('Price list'!E:E, MATCH(LEFT(UPPER(SUBSTITUTE(A16, " ", "")), 8) &amp; "*", 'Price list'!F:F, 0)), 0))</f>
        <v>0.05</v>
      </c>
      <c r="I16" s="26">
        <f>IF(ISBLANK(A16), "", IFERROR(INDEX('Price list'!D:D, MATCH(LEFT(UPPER(SUBSTITUTE(A16, " ", "")), 8) &amp; "*", 'Price list'!F:F, 0)), ""))</f>
        <v>95030020</v>
      </c>
      <c r="J16" s="27">
        <f>IF(ISBLANK(A16), "", IFERROR(IF(ROUND(H16,2)=0.05, INDEX(discount!C:C, IFERROR(MATCH($A$5, discount!A:A, 0), IFERROR(MATCH("*" &amp; LEFT($A$5, 12) &amp; "*", discount!A:A, 0), MATCH("*" &amp; LEFT($A$5, 6) &amp; "*", discount!A:A, 0)))), IF(ROUND(H16,2)=0.18, INDEX(discount!E:E, IFERROR(MATCH($A$5, discount!A:A, 0), IFERROR(MATCH("*" &amp; LEFT($A$5, 12) &amp; "*", discount!A:A, 0), MATCH("*" &amp; LEFT($A$5, 6) &amp; "*", discount!A:A, 0)))), IF(ROUND(H16,2)=0.12, INDEX(discount!D:D, IFERROR(MATCH($A$5, discount!A:A, 0), IFERROR(MATCH("*" &amp; LEFT($A$5, 12) &amp; "*", discount!A:A, 0), MATCH("*" &amp; LEFT($A$5, 6) &amp; "*", discount!A:A, 0)))), IF(ROUND(H16,2)=0.28,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6" s="26">
        <f>IF(ISBLANK(A16), "", ROUND(G16*C16*J16,2))</f>
        <v>385.31</v>
      </c>
      <c r="L16" s="26">
        <f>IF(ISBLANK(A16), "", (G16*C16)-K16)</f>
        <v>513.69000000000005</v>
      </c>
      <c r="M16" s="24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4"/>
    </row>
    <row r="17" spans="1:14" x14ac:dyDescent="0.3">
      <c r="A17" s="24" t="s">
        <v>90</v>
      </c>
      <c r="B17" s="24" t="s">
        <v>289</v>
      </c>
      <c r="C17" s="24">
        <v>1</v>
      </c>
      <c r="D17" s="24">
        <v>0</v>
      </c>
      <c r="E17" s="24">
        <v>919</v>
      </c>
      <c r="F17" s="24" t="str">
        <f>IF(ISBLANK(A17), "", IFERROR(INDEX('Price list'!B:B, MATCH(LEFT(UPPER(SUBSTITUTE(A17, " ", "")), 8) &amp; "*", 'Price list'!F:F, 0)), ""))</f>
        <v>SMRT1183</v>
      </c>
      <c r="G17" s="24">
        <f>IF(ISBLANK(A17), "", IFERROR(INDEX('Price list'!C:C, MATCH(LEFT(UPPER(SUBSTITUTE(A17, " ", "")), 8) &amp; "*", 'Price list'!F:F, 0)), 0))</f>
        <v>919</v>
      </c>
      <c r="H17" s="24">
        <f>IF(ISBLANK(A17), "", IFERROR(INDEX('Price list'!E:E, MATCH(LEFT(UPPER(SUBSTITUTE(A17, " ", "")), 8) &amp; "*", 'Price list'!F:F, 0)), 0))</f>
        <v>0.05</v>
      </c>
      <c r="I17" s="24">
        <f>IF(ISBLANK(A17), "", IFERROR(INDEX('Price list'!D:D, MATCH(LEFT(UPPER(SUBSTITUTE(A17, " ", "")), 8) &amp; "*", 'Price list'!F:F, 0)), ""))</f>
        <v>95030020</v>
      </c>
      <c r="J17" s="25">
        <f>IF(ISBLANK(A17), "", IFERROR(IF(ROUND(H17,2)=0.05, INDEX(discount!C:C, IFERROR(MATCH($A$5, discount!A:A, 0), IFERROR(MATCH("*" &amp; LEFT($A$5, 12) &amp; "*", discount!A:A, 0), MATCH("*" &amp; LEFT($A$5, 6) &amp; "*", discount!A:A, 0)))), IF(ROUND(H17,2)=0.18, INDEX(discount!E:E, IFERROR(MATCH($A$5, discount!A:A, 0), IFERROR(MATCH("*" &amp; LEFT($A$5, 12) &amp; "*", discount!A:A, 0), MATCH("*" &amp; LEFT($A$5, 6) &amp; "*", discount!A:A, 0)))), IF(ROUND(H17,2)=0.12, INDEX(discount!D:D, IFERROR(MATCH($A$5, discount!A:A, 0), IFERROR(MATCH("*" &amp; LEFT($A$5, 12) &amp; "*", discount!A:A, 0), MATCH("*" &amp; LEFT($A$5, 6) &amp; "*", discount!A:A, 0)))), IF(ROUND(H17,2)=0.28,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7" s="24">
        <f>IF(ISBLANK(A17), "", ROUND(G17*C17*J17,2))</f>
        <v>393.88</v>
      </c>
      <c r="L17" s="24">
        <f>IF(ISBLANK(A17), "", (G17*C17)-K17)</f>
        <v>525.12</v>
      </c>
      <c r="M17" s="24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4"/>
    </row>
    <row r="18" spans="1:14" x14ac:dyDescent="0.3">
      <c r="A18" s="26" t="s">
        <v>55</v>
      </c>
      <c r="B18" s="26" t="s">
        <v>290</v>
      </c>
      <c r="C18" s="26">
        <v>1</v>
      </c>
      <c r="D18" s="26">
        <v>0</v>
      </c>
      <c r="E18" s="26">
        <v>529</v>
      </c>
      <c r="F18" s="26" t="str">
        <f>IF(ISBLANK(A18), "", IFERROR(INDEX('Price list'!B:B, MATCH(LEFT(UPPER(SUBSTITUTE(A18, " ", "")), 8) &amp; "*", 'Price list'!F:F, 0)), ""))</f>
        <v>SMRT1098</v>
      </c>
      <c r="G18" s="26">
        <f>IF(ISBLANK(A18), "", IFERROR(INDEX('Price list'!C:C, MATCH(LEFT(UPPER(SUBSTITUTE(A18, " ", "")), 8) &amp; "*", 'Price list'!F:F, 0)), 0))</f>
        <v>529</v>
      </c>
      <c r="H18" s="26">
        <f>IF(ISBLANK(A18), "", IFERROR(INDEX('Price list'!E:E, MATCH(LEFT(UPPER(SUBSTITUTE(A18, " ", "")), 8) &amp; "*", 'Price list'!F:F, 0)), 0))</f>
        <v>0.05</v>
      </c>
      <c r="I18" s="26">
        <f>IF(ISBLANK(A18), "", IFERROR(INDEX('Price list'!D:D, MATCH(LEFT(UPPER(SUBSTITUTE(A18, " ", "")), 8) &amp; "*", 'Price list'!F:F, 0)), ""))</f>
        <v>95030020</v>
      </c>
      <c r="J18" s="27">
        <f>IF(ISBLANK(A18), "", IFERROR(IF(ROUND(H18,2)=0.05, INDEX(discount!C:C, IFERROR(MATCH($A$5, discount!A:A, 0), IFERROR(MATCH("*" &amp; LEFT($A$5, 12) &amp; "*", discount!A:A, 0), MATCH("*" &amp; LEFT($A$5, 6) &amp; "*", discount!A:A, 0)))), IF(ROUND(H18,2)=0.18, INDEX(discount!E:E, IFERROR(MATCH($A$5, discount!A:A, 0), IFERROR(MATCH("*" &amp; LEFT($A$5, 12) &amp; "*", discount!A:A, 0), MATCH("*" &amp; LEFT($A$5, 6) &amp; "*", discount!A:A, 0)))), IF(ROUND(H18,2)=0.12, INDEX(discount!D:D, IFERROR(MATCH($A$5, discount!A:A, 0), IFERROR(MATCH("*" &amp; LEFT($A$5, 12) &amp; "*", discount!A:A, 0), MATCH("*" &amp; LEFT($A$5, 6) &amp; "*", discount!A:A, 0)))), IF(ROUND(H18,2)=0.28,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8" s="26">
        <f>IF(ISBLANK(A18), "", ROUND(G18*C18*J18,2))</f>
        <v>226.73</v>
      </c>
      <c r="L18" s="26">
        <f>IF(ISBLANK(A18), "", (G18*C18)-K18)</f>
        <v>302.27</v>
      </c>
      <c r="M18" s="24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4"/>
    </row>
    <row r="19" spans="1:14" x14ac:dyDescent="0.3">
      <c r="A19" s="24" t="s">
        <v>60</v>
      </c>
      <c r="B19" s="24" t="s">
        <v>291</v>
      </c>
      <c r="C19" s="24">
        <v>1</v>
      </c>
      <c r="D19" s="24">
        <v>0</v>
      </c>
      <c r="E19" s="24">
        <v>549</v>
      </c>
      <c r="F19" s="24" t="str">
        <f>IF(ISBLANK(A19), "", IFERROR(INDEX('Price list'!B:B, MATCH(LEFT(UPPER(SUBSTITUTE(A19, " ", "")), 8) &amp; "*", 'Price list'!F:F, 0)), ""))</f>
        <v>SMRT1109 (V6)</v>
      </c>
      <c r="G19" s="24">
        <f>IF(ISBLANK(A19), "", IFERROR(INDEX('Price list'!C:C, MATCH(LEFT(UPPER(SUBSTITUTE(A19, " ", "")), 8) &amp; "*", 'Price list'!F:F, 0)), 0))</f>
        <v>549</v>
      </c>
      <c r="H19" s="24">
        <f>IF(ISBLANK(A19), "", IFERROR(INDEX('Price list'!E:E, MATCH(LEFT(UPPER(SUBSTITUTE(A19, " ", "")), 8) &amp; "*", 'Price list'!F:F, 0)), 0))</f>
        <v>0.05</v>
      </c>
      <c r="I19" s="24">
        <f>IF(ISBLANK(A19), "", IFERROR(INDEX('Price list'!D:D, MATCH(LEFT(UPPER(SUBSTITUTE(A19, " ", "")), 8) &amp; "*", 'Price list'!F:F, 0)), ""))</f>
        <v>95030020</v>
      </c>
      <c r="J19" s="25">
        <f>IF(ISBLANK(A19), "", IFERROR(IF(ROUND(H19,2)=0.05, INDEX(discount!C:C, IFERROR(MATCH($A$5, discount!A:A, 0), IFERROR(MATCH("*" &amp; LEFT($A$5, 12) &amp; "*", discount!A:A, 0), MATCH("*" &amp; LEFT($A$5, 6) &amp; "*", discount!A:A, 0)))), IF(ROUND(H19,2)=0.18, INDEX(discount!E:E, IFERROR(MATCH($A$5, discount!A:A, 0), IFERROR(MATCH("*" &amp; LEFT($A$5, 12) &amp; "*", discount!A:A, 0), MATCH("*" &amp; LEFT($A$5, 6) &amp; "*", discount!A:A, 0)))), IF(ROUND(H19,2)=0.12, INDEX(discount!D:D, IFERROR(MATCH($A$5, discount!A:A, 0), IFERROR(MATCH("*" &amp; LEFT($A$5, 12) &amp; "*", discount!A:A, 0), MATCH("*" &amp; LEFT($A$5, 6) &amp; "*", discount!A:A, 0)))), IF(ROUND(H19,2)=0.28,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9" s="24">
        <f>IF(ISBLANK(A19), "", ROUND(G19*C19*J19,2))</f>
        <v>235.3</v>
      </c>
      <c r="L19" s="24">
        <f>IF(ISBLANK(A19), "", (G19*C19)-K19)</f>
        <v>313.7</v>
      </c>
      <c r="M19" s="24" t="s">
        <v>292</v>
      </c>
      <c r="N19" s="24"/>
    </row>
    <row r="20" spans="1:14" x14ac:dyDescent="0.3">
      <c r="A20" s="26" t="s">
        <v>140</v>
      </c>
      <c r="B20" s="26" t="s">
        <v>293</v>
      </c>
      <c r="C20" s="26">
        <v>1</v>
      </c>
      <c r="D20" s="26">
        <v>0</v>
      </c>
      <c r="E20" s="26">
        <v>849</v>
      </c>
      <c r="F20" s="26" t="str">
        <f>IF(ISBLANK(A20), "", IFERROR(INDEX('Price list'!B:B, MATCH(LEFT(UPPER(SUBSTITUTE(A20, " ", "")), 8) &amp; "*", 'Price list'!F:F, 0)), ""))</f>
        <v>SMRT1279</v>
      </c>
      <c r="G20" s="26">
        <f>IF(ISBLANK(A20), "", IFERROR(INDEX('Price list'!C:C, MATCH(LEFT(UPPER(SUBSTITUTE(A20, " ", "")), 8) &amp; "*", 'Price list'!F:F, 0)), 0))</f>
        <v>849</v>
      </c>
      <c r="H20" s="26">
        <f>IF(ISBLANK(A20), "", IFERROR(INDEX('Price list'!E:E, MATCH(LEFT(UPPER(SUBSTITUTE(A20, " ", "")), 8) &amp; "*", 'Price list'!F:F, 0)), 0))</f>
        <v>0.05</v>
      </c>
      <c r="I20" s="26">
        <f>IF(ISBLANK(A20), "", IFERROR(INDEX('Price list'!D:D, MATCH(LEFT(UPPER(SUBSTITUTE(A20, " ", "")), 8) &amp; "*", 'Price list'!F:F, 0)), ""))</f>
        <v>95030020</v>
      </c>
      <c r="J20" s="27">
        <f>IF(ISBLANK(A20), "", IFERROR(IF(ROUND(H20,2)=0.05, INDEX(discount!C:C, IFERROR(MATCH($A$5, discount!A:A, 0), IFERROR(MATCH("*" &amp; LEFT($A$5, 12) &amp; "*", discount!A:A, 0), MATCH("*" &amp; LEFT($A$5, 6) &amp; "*", discount!A:A, 0)))), IF(ROUND(H20,2)=0.18, INDEX(discount!E:E, IFERROR(MATCH($A$5, discount!A:A, 0), IFERROR(MATCH("*" &amp; LEFT($A$5, 12) &amp; "*", discount!A:A, 0), MATCH("*" &amp; LEFT($A$5, 6) &amp; "*", discount!A:A, 0)))), IF(ROUND(H20,2)=0.12, INDEX(discount!D:D, IFERROR(MATCH($A$5, discount!A:A, 0), IFERROR(MATCH("*" &amp; LEFT($A$5, 12) &amp; "*", discount!A:A, 0), MATCH("*" &amp; LEFT($A$5, 6) &amp; "*", discount!A:A, 0)))), IF(ROUND(H20,2)=0.28,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0" s="26">
        <f>IF(ISBLANK(A20), "", ROUND(G20*C20*J20,2))</f>
        <v>363.88</v>
      </c>
      <c r="L20" s="26">
        <f>IF(ISBLANK(A20), "", (G20*C20)-K20)</f>
        <v>485.12</v>
      </c>
      <c r="M20" s="24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4"/>
    </row>
    <row r="21" spans="1:14" x14ac:dyDescent="0.3">
      <c r="A21" s="24" t="s">
        <v>155</v>
      </c>
      <c r="B21" s="24" t="s">
        <v>294</v>
      </c>
      <c r="C21" s="24">
        <v>1</v>
      </c>
      <c r="D21" s="24">
        <v>0</v>
      </c>
      <c r="E21" s="24">
        <v>999</v>
      </c>
      <c r="F21" s="24" t="str">
        <f>IF(ISBLANK(A21), "", IFERROR(INDEX('Price list'!B:B, MATCH(LEFT(UPPER(SUBSTITUTE(A21, " ", "")), 8) &amp; "*", 'Price list'!F:F, 0)), ""))</f>
        <v>SMRT1302</v>
      </c>
      <c r="G21" s="24">
        <f>IF(ISBLANK(A21), "", IFERROR(INDEX('Price list'!C:C, MATCH(LEFT(UPPER(SUBSTITUTE(A21, " ", "")), 8) &amp; "*", 'Price list'!F:F, 0)), 0))</f>
        <v>999</v>
      </c>
      <c r="H21" s="24">
        <f>IF(ISBLANK(A21), "", IFERROR(INDEX('Price list'!E:E, MATCH(LEFT(UPPER(SUBSTITUTE(A21, " ", "")), 8) &amp; "*", 'Price list'!F:F, 0)), 0))</f>
        <v>0.18</v>
      </c>
      <c r="I21" s="24">
        <f>IF(ISBLANK(A21), "", IFERROR(INDEX('Price list'!D:D, MATCH(LEFT(UPPER(SUBSTITUTE(A21, " ", "")), 8) &amp; "*", 'Price list'!F:F, 0)), ""))</f>
        <v>95030010</v>
      </c>
      <c r="J21" s="25">
        <f>IF(ISBLANK(A21), "", IFERROR(IF(ROUND(H21,2)=0.05, INDEX(discount!C:C, IFERROR(MATCH($A$5, discount!A:A, 0), IFERROR(MATCH("*" &amp; LEFT($A$5, 12) &amp; "*", discount!A:A, 0), MATCH("*" &amp; LEFT($A$5, 6) &amp; "*", discount!A:A, 0)))), IF(ROUND(H21,2)=0.18, INDEX(discount!E:E, IFERROR(MATCH($A$5, discount!A:A, 0), IFERROR(MATCH("*" &amp; LEFT($A$5, 12) &amp; "*", discount!A:A, 0), MATCH("*" &amp; LEFT($A$5, 6) &amp; "*", discount!A:A, 0)))), IF(ROUND(H21,2)=0.12, INDEX(discount!D:D, IFERROR(MATCH($A$5, discount!A:A, 0), IFERROR(MATCH("*" &amp; LEFT($A$5, 12) &amp; "*", discount!A:A, 0), MATCH("*" &amp; LEFT($A$5, 6) &amp; "*", discount!A:A, 0)))), IF(ROUND(H21,2)=0.28,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1" s="24">
        <f>IF(ISBLANK(A21), "", ROUND(G21*C21*J21,2))</f>
        <v>491.01</v>
      </c>
      <c r="L21" s="24">
        <f>IF(ISBLANK(A21), "", (G21*C21)-K21)</f>
        <v>507.99</v>
      </c>
      <c r="M21" s="24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4"/>
    </row>
    <row r="22" spans="1:14" x14ac:dyDescent="0.3">
      <c r="A22" s="26" t="s">
        <v>158</v>
      </c>
      <c r="B22" s="26" t="s">
        <v>295</v>
      </c>
      <c r="C22" s="26">
        <v>1</v>
      </c>
      <c r="D22" s="26">
        <v>0</v>
      </c>
      <c r="E22" s="26">
        <v>799</v>
      </c>
      <c r="F22" s="26" t="str">
        <f>IF(ISBLANK(A22), "", IFERROR(INDEX('Price list'!B:B, MATCH(LEFT(UPPER(SUBSTITUTE(A22, " ", "")), 8) &amp; "*", 'Price list'!F:F, 0)), ""))</f>
        <v>SMRT1309</v>
      </c>
      <c r="G22" s="26">
        <f>IF(ISBLANK(A22), "", IFERROR(INDEX('Price list'!C:C, MATCH(LEFT(UPPER(SUBSTITUTE(A22, " ", "")), 8) &amp; "*", 'Price list'!F:F, 0)), 0))</f>
        <v>799</v>
      </c>
      <c r="H22" s="26">
        <f>IF(ISBLANK(A22), "", IFERROR(INDEX('Price list'!E:E, MATCH(LEFT(UPPER(SUBSTITUTE(A22, " ", "")), 8) &amp; "*", 'Price list'!F:F, 0)), 0))</f>
        <v>0.05</v>
      </c>
      <c r="I22" s="26">
        <f>IF(ISBLANK(A22), "", IFERROR(INDEX('Price list'!D:D, MATCH(LEFT(UPPER(SUBSTITUTE(A22, " ", "")), 8) &amp; "*", 'Price list'!F:F, 0)), ""))</f>
        <v>95030020</v>
      </c>
      <c r="J22" s="27">
        <f>IF(ISBLANK(A22), "", IFERROR(IF(ROUND(H22,2)=0.05, INDEX(discount!C:C, IFERROR(MATCH($A$5, discount!A:A, 0), IFERROR(MATCH("*" &amp; LEFT($A$5, 12) &amp; "*", discount!A:A, 0), MATCH("*" &amp; LEFT($A$5, 6) &amp; "*", discount!A:A, 0)))), IF(ROUND(H22,2)=0.18, INDEX(discount!E:E, IFERROR(MATCH($A$5, discount!A:A, 0), IFERROR(MATCH("*" &amp; LEFT($A$5, 12) &amp; "*", discount!A:A, 0), MATCH("*" &amp; LEFT($A$5, 6) &amp; "*", discount!A:A, 0)))), IF(ROUND(H22,2)=0.12, INDEX(discount!D:D, IFERROR(MATCH($A$5, discount!A:A, 0), IFERROR(MATCH("*" &amp; LEFT($A$5, 12) &amp; "*", discount!A:A, 0), MATCH("*" &amp; LEFT($A$5, 6) &amp; "*", discount!A:A, 0)))), IF(ROUND(H22,2)=0.28,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2" s="26">
        <f>IF(ISBLANK(A22), "", ROUND(G22*C22*J22,2))</f>
        <v>342.45</v>
      </c>
      <c r="L22" s="26">
        <f>IF(ISBLANK(A22), "", (G22*C22)-K22)</f>
        <v>456.55</v>
      </c>
      <c r="M22" s="24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24"/>
    </row>
    <row r="23" spans="1:14" x14ac:dyDescent="0.3">
      <c r="A23" s="24" t="s">
        <v>138</v>
      </c>
      <c r="B23" s="24" t="s">
        <v>296</v>
      </c>
      <c r="C23" s="24">
        <v>1</v>
      </c>
      <c r="D23" s="24">
        <v>0</v>
      </c>
      <c r="E23" s="24">
        <v>649</v>
      </c>
      <c r="F23" s="24" t="str">
        <f>IF(ISBLANK(A23), "", IFERROR(INDEX('Price list'!B:B, MATCH(LEFT(UPPER(SUBSTITUTE(A23, " ", "")), 8) &amp; "*", 'Price list'!F:F, 0)), ""))</f>
        <v>SMRT1276</v>
      </c>
      <c r="G23" s="24">
        <f>IF(ISBLANK(A23), "", IFERROR(INDEX('Price list'!C:C, MATCH(LEFT(UPPER(SUBSTITUTE(A23, " ", "")), 8) &amp; "*", 'Price list'!F:F, 0)), 0))</f>
        <v>649</v>
      </c>
      <c r="H23" s="24">
        <f>IF(ISBLANK(A23), "", IFERROR(INDEX('Price list'!E:E, MATCH(LEFT(UPPER(SUBSTITUTE(A23, " ", "")), 8) &amp; "*", 'Price list'!F:F, 0)), 0))</f>
        <v>0.05</v>
      </c>
      <c r="I23" s="24">
        <f>IF(ISBLANK(A23), "", IFERROR(INDEX('Price list'!D:D, MATCH(LEFT(UPPER(SUBSTITUTE(A23, " ", "")), 8) &amp; "*", 'Price list'!F:F, 0)), ""))</f>
        <v>95030020</v>
      </c>
      <c r="J23" s="25">
        <f>IF(ISBLANK(A23), "", IFERROR(IF(ROUND(H23,2)=0.05, INDEX(discount!C:C, IFERROR(MATCH($A$5, discount!A:A, 0), IFERROR(MATCH("*" &amp; LEFT($A$5, 12) &amp; "*", discount!A:A, 0), MATCH("*" &amp; LEFT($A$5, 6) &amp; "*", discount!A:A, 0)))), IF(ROUND(H23,2)=0.18, INDEX(discount!E:E, IFERROR(MATCH($A$5, discount!A:A, 0), IFERROR(MATCH("*" &amp; LEFT($A$5, 12) &amp; "*", discount!A:A, 0), MATCH("*" &amp; LEFT($A$5, 6) &amp; "*", discount!A:A, 0)))), IF(ROUND(H23,2)=0.12, INDEX(discount!D:D, IFERROR(MATCH($A$5, discount!A:A, 0), IFERROR(MATCH("*" &amp; LEFT($A$5, 12) &amp; "*", discount!A:A, 0), MATCH("*" &amp; LEFT($A$5, 6) &amp; "*", discount!A:A, 0)))), IF(ROUND(H23,2)=0.28,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3" s="24">
        <f>IF(ISBLANK(A23), "", ROUND(G23*C23*J23,2))</f>
        <v>278.16000000000003</v>
      </c>
      <c r="L23" s="24">
        <f>IF(ISBLANK(A23), "", (G23*C23)-K23)</f>
        <v>370.84</v>
      </c>
      <c r="M23" s="24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4"/>
    </row>
    <row r="24" spans="1:14" x14ac:dyDescent="0.3">
      <c r="A24" s="26" t="s">
        <v>141</v>
      </c>
      <c r="B24" s="26" t="s">
        <v>297</v>
      </c>
      <c r="C24" s="26">
        <v>1</v>
      </c>
      <c r="D24" s="26">
        <v>0</v>
      </c>
      <c r="E24" s="26">
        <v>1099</v>
      </c>
      <c r="F24" s="26" t="str">
        <f>IF(ISBLANK(A24), "", IFERROR(INDEX('Price list'!B:B, MATCH(LEFT(UPPER(SUBSTITUTE(A24, " ", "")), 8) &amp; "*", 'Price list'!F:F, 0)), ""))</f>
        <v>SMRT1280</v>
      </c>
      <c r="G24" s="26">
        <f>IF(ISBLANK(A24), "", IFERROR(INDEX('Price list'!C:C, MATCH(LEFT(UPPER(SUBSTITUTE(A24, " ", "")), 8) &amp; "*", 'Price list'!F:F, 0)), 0))</f>
        <v>1099</v>
      </c>
      <c r="H24" s="26">
        <f>IF(ISBLANK(A24), "", IFERROR(INDEX('Price list'!E:E, MATCH(LEFT(UPPER(SUBSTITUTE(A24, " ", "")), 8) &amp; "*", 'Price list'!F:F, 0)), 0))</f>
        <v>0.05</v>
      </c>
      <c r="I24" s="26">
        <f>IF(ISBLANK(A24), "", IFERROR(INDEX('Price list'!D:D, MATCH(LEFT(UPPER(SUBSTITUTE(A24, " ", "")), 8) &amp; "*", 'Price list'!F:F, 0)), ""))</f>
        <v>95030020</v>
      </c>
      <c r="J24" s="27">
        <f>IF(ISBLANK(A24), "", IFERROR(IF(ROUND(H24,2)=0.05, INDEX(discount!C:C, IFERROR(MATCH($A$5, discount!A:A, 0), IFERROR(MATCH("*" &amp; LEFT($A$5, 12) &amp; "*", discount!A:A, 0), MATCH("*" &amp; LEFT($A$5, 6) &amp; "*", discount!A:A, 0)))), IF(ROUND(H24,2)=0.18, INDEX(discount!E:E, IFERROR(MATCH($A$5, discount!A:A, 0), IFERROR(MATCH("*" &amp; LEFT($A$5, 12) &amp; "*", discount!A:A, 0), MATCH("*" &amp; LEFT($A$5, 6) &amp; "*", discount!A:A, 0)))), IF(ROUND(H24,2)=0.12, INDEX(discount!D:D, IFERROR(MATCH($A$5, discount!A:A, 0), IFERROR(MATCH("*" &amp; LEFT($A$5, 12) &amp; "*", discount!A:A, 0), MATCH("*" &amp; LEFT($A$5, 6) &amp; "*", discount!A:A, 0)))), IF(ROUND(H24,2)=0.28,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4" s="26">
        <f>IF(ISBLANK(A24), "", ROUND(G24*C24*J24,2))</f>
        <v>471.03</v>
      </c>
      <c r="L24" s="26">
        <f>IF(ISBLANK(A24), "", (G24*C24)-K24)</f>
        <v>627.97</v>
      </c>
      <c r="M24" s="24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4"/>
    </row>
    <row r="25" spans="1:14" x14ac:dyDescent="0.3">
      <c r="A25" s="24" t="s">
        <v>98</v>
      </c>
      <c r="B25" s="24" t="s">
        <v>298</v>
      </c>
      <c r="C25" s="24">
        <v>1</v>
      </c>
      <c r="D25" s="24">
        <v>0</v>
      </c>
      <c r="E25" s="24">
        <v>1099</v>
      </c>
      <c r="F25" s="24" t="str">
        <f>IF(ISBLANK(A25), "", IFERROR(INDEX('Price list'!B:B, MATCH(LEFT(UPPER(SUBSTITUTE(A25, " ", "")), 8) &amp; "*", 'Price list'!F:F, 0)), ""))</f>
        <v>SMRT1192</v>
      </c>
      <c r="G25" s="24">
        <f>IF(ISBLANK(A25), "", IFERROR(INDEX('Price list'!C:C, MATCH(LEFT(UPPER(SUBSTITUTE(A25, " ", "")), 8) &amp; "*", 'Price list'!F:F, 0)), 0))</f>
        <v>1099</v>
      </c>
      <c r="H25" s="24">
        <f>IF(ISBLANK(A25), "", IFERROR(INDEX('Price list'!E:E, MATCH(LEFT(UPPER(SUBSTITUTE(A25, " ", "")), 8) &amp; "*", 'Price list'!F:F, 0)), 0))</f>
        <v>0.05</v>
      </c>
      <c r="I25" s="24">
        <f>IF(ISBLANK(A25), "", IFERROR(INDEX('Price list'!D:D, MATCH(LEFT(UPPER(SUBSTITUTE(A25, " ", "")), 8) &amp; "*", 'Price list'!F:F, 0)), ""))</f>
        <v>95030020</v>
      </c>
      <c r="J25" s="25">
        <f>IF(ISBLANK(A25), "", IFERROR(IF(ROUND(H25,2)=0.05, INDEX(discount!C:C, IFERROR(MATCH($A$5, discount!A:A, 0), IFERROR(MATCH("*" &amp; LEFT($A$5, 12) &amp; "*", discount!A:A, 0), MATCH("*" &amp; LEFT($A$5, 6) &amp; "*", discount!A:A, 0)))), IF(ROUND(H25,2)=0.18, INDEX(discount!E:E, IFERROR(MATCH($A$5, discount!A:A, 0), IFERROR(MATCH("*" &amp; LEFT($A$5, 12) &amp; "*", discount!A:A, 0), MATCH("*" &amp; LEFT($A$5, 6) &amp; "*", discount!A:A, 0)))), IF(ROUND(H25,2)=0.12, INDEX(discount!D:D, IFERROR(MATCH($A$5, discount!A:A, 0), IFERROR(MATCH("*" &amp; LEFT($A$5, 12) &amp; "*", discount!A:A, 0), MATCH("*" &amp; LEFT($A$5, 6) &amp; "*", discount!A:A, 0)))), IF(ROUND(H25,2)=0.28,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5" s="24">
        <f>IF(ISBLANK(A25), "", ROUND(G25*C25*J25,2))</f>
        <v>471.03</v>
      </c>
      <c r="L25" s="24">
        <f>IF(ISBLANK(A25), "", (G25*C25)-K25)</f>
        <v>627.97</v>
      </c>
      <c r="M25" s="24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4"/>
    </row>
    <row r="26" spans="1:14" x14ac:dyDescent="0.3">
      <c r="A26" s="26" t="s">
        <v>103</v>
      </c>
      <c r="B26" s="26" t="s">
        <v>299</v>
      </c>
      <c r="C26" s="26">
        <v>1</v>
      </c>
      <c r="D26" s="26">
        <v>0</v>
      </c>
      <c r="E26" s="26">
        <v>1099</v>
      </c>
      <c r="F26" s="26" t="str">
        <f>IF(ISBLANK(A26), "", IFERROR(INDEX('Price list'!B:B, MATCH(LEFT(UPPER(SUBSTITUTE(A26, " ", "")), 8) &amp; "*", 'Price list'!F:F, 0)), ""))</f>
        <v>SMRT1214-18</v>
      </c>
      <c r="G26" s="26">
        <f>IF(ISBLANK(A26), "", IFERROR(INDEX('Price list'!C:C, MATCH(LEFT(UPPER(SUBSTITUTE(A26, " ", "")), 8) &amp; "*", 'Price list'!F:F, 0)), 0))</f>
        <v>1099</v>
      </c>
      <c r="H26" s="26">
        <f>IF(ISBLANK(A26), "", IFERROR(INDEX('Price list'!E:E, MATCH(LEFT(UPPER(SUBSTITUTE(A26, " ", "")), 8) &amp; "*", 'Price list'!F:F, 0)), 0))</f>
        <v>0.18</v>
      </c>
      <c r="I26" s="26">
        <f>IF(ISBLANK(A26), "", IFERROR(INDEX('Price list'!D:D, MATCH(LEFT(UPPER(SUBSTITUTE(A26, " ", "")), 8) &amp; "*", 'Price list'!F:F, 0)), ""))</f>
        <v>95030010</v>
      </c>
      <c r="J26" s="27">
        <f>IF(ISBLANK(A26), "", IFERROR(IF(ROUND(H26,2)=0.05, INDEX(discount!C:C, IFERROR(MATCH($A$5, discount!A:A, 0), IFERROR(MATCH("*" &amp; LEFT($A$5, 12) &amp; "*", discount!A:A, 0), MATCH("*" &amp; LEFT($A$5, 6) &amp; "*", discount!A:A, 0)))), IF(ROUND(H26,2)=0.18, INDEX(discount!E:E, IFERROR(MATCH($A$5, discount!A:A, 0), IFERROR(MATCH("*" &amp; LEFT($A$5, 12) &amp; "*", discount!A:A, 0), MATCH("*" &amp; LEFT($A$5, 6) &amp; "*", discount!A:A, 0)))), IF(ROUND(H26,2)=0.12, INDEX(discount!D:D, IFERROR(MATCH($A$5, discount!A:A, 0), IFERROR(MATCH("*" &amp; LEFT($A$5, 12) &amp; "*", discount!A:A, 0), MATCH("*" &amp; LEFT($A$5, 6) &amp; "*", discount!A:A, 0)))), IF(ROUND(H26,2)=0.28,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6" s="26">
        <f>IF(ISBLANK(A26), "", ROUND(G26*C26*J26,2))</f>
        <v>540.16</v>
      </c>
      <c r="L26" s="26">
        <f>IF(ISBLANK(A26), "", (G26*C26)-K26)</f>
        <v>558.84</v>
      </c>
      <c r="M26" s="24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4"/>
    </row>
    <row r="27" spans="1:14" x14ac:dyDescent="0.3">
      <c r="A27" s="24" t="s">
        <v>115</v>
      </c>
      <c r="B27" s="24" t="s">
        <v>300</v>
      </c>
      <c r="C27" s="24">
        <v>1</v>
      </c>
      <c r="D27" s="24">
        <v>0</v>
      </c>
      <c r="E27" s="24">
        <v>1099</v>
      </c>
      <c r="F27" s="24" t="str">
        <f>IF(ISBLANK(A27), "", IFERROR(INDEX('Price list'!B:B, MATCH(LEFT(UPPER(SUBSTITUTE(A27, " ", "")), 8) &amp; "*", 'Price list'!F:F, 0)), ""))</f>
        <v>SMRT1230-18</v>
      </c>
      <c r="G27" s="24">
        <f>IF(ISBLANK(A27), "", IFERROR(INDEX('Price list'!C:C, MATCH(LEFT(UPPER(SUBSTITUTE(A27, " ", "")), 8) &amp; "*", 'Price list'!F:F, 0)), 0))</f>
        <v>1099</v>
      </c>
      <c r="H27" s="24">
        <f>IF(ISBLANK(A27), "", IFERROR(INDEX('Price list'!E:E, MATCH(LEFT(UPPER(SUBSTITUTE(A27, " ", "")), 8) &amp; "*", 'Price list'!F:F, 0)), 0))</f>
        <v>0.18</v>
      </c>
      <c r="I27" s="24">
        <f>IF(ISBLANK(A27), "", IFERROR(INDEX('Price list'!D:D, MATCH(LEFT(UPPER(SUBSTITUTE(A27, " ", "")), 8) &amp; "*", 'Price list'!F:F, 0)), ""))</f>
        <v>95030010</v>
      </c>
      <c r="J27" s="25">
        <f>IF(ISBLANK(A27), "", IFERROR(IF(ROUND(H27,2)=0.05, INDEX(discount!C:C, IFERROR(MATCH($A$5, discount!A:A, 0), IFERROR(MATCH("*" &amp; LEFT($A$5, 12) &amp; "*", discount!A:A, 0), MATCH("*" &amp; LEFT($A$5, 6) &amp; "*", discount!A:A, 0)))), IF(ROUND(H27,2)=0.18, INDEX(discount!E:E, IFERROR(MATCH($A$5, discount!A:A, 0), IFERROR(MATCH("*" &amp; LEFT($A$5, 12) &amp; "*", discount!A:A, 0), MATCH("*" &amp; LEFT($A$5, 6) &amp; "*", discount!A:A, 0)))), IF(ROUND(H27,2)=0.12, INDEX(discount!D:D, IFERROR(MATCH($A$5, discount!A:A, 0), IFERROR(MATCH("*" &amp; LEFT($A$5, 12) &amp; "*", discount!A:A, 0), MATCH("*" &amp; LEFT($A$5, 6) &amp; "*", discount!A:A, 0)))), IF(ROUND(H27,2)=0.28,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7" s="24">
        <f>IF(ISBLANK(A27), "", ROUND(G27*C27*J27,2))</f>
        <v>540.16</v>
      </c>
      <c r="L27" s="24">
        <f>IF(ISBLANK(A27), "", (G27*C27)-K27)</f>
        <v>558.84</v>
      </c>
      <c r="M27" s="24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4"/>
    </row>
    <row r="28" spans="1:14" x14ac:dyDescent="0.3">
      <c r="A28" s="26" t="s">
        <v>175</v>
      </c>
      <c r="B28" s="26" t="s">
        <v>301</v>
      </c>
      <c r="C28" s="26">
        <v>1</v>
      </c>
      <c r="D28" s="26">
        <v>0</v>
      </c>
      <c r="E28" s="26">
        <v>699</v>
      </c>
      <c r="F28" s="26" t="str">
        <f>IF(ISBLANK(A28), "", IFERROR(INDEX('Price list'!B:B, MATCH(LEFT(UPPER(SUBSTITUTE(A28, " ", "")), 8) &amp; "*", 'Price list'!F:F, 0)), ""))</f>
        <v>SMRT1336</v>
      </c>
      <c r="G28" s="26">
        <f>IF(ISBLANK(A28), "", IFERROR(INDEX('Price list'!C:C, MATCH(LEFT(UPPER(SUBSTITUTE(A28, " ", "")), 8) &amp; "*", 'Price list'!F:F, 0)), 0))</f>
        <v>699</v>
      </c>
      <c r="H28" s="26">
        <f>IF(ISBLANK(A28), "", IFERROR(INDEX('Price list'!E:E, MATCH(LEFT(UPPER(SUBSTITUTE(A28, " ", "")), 8) &amp; "*", 'Price list'!F:F, 0)), 0))</f>
        <v>0.05</v>
      </c>
      <c r="I28" s="26">
        <f>IF(ISBLANK(A28), "", IFERROR(INDEX('Price list'!D:D, MATCH(LEFT(UPPER(SUBSTITUTE(A28, " ", "")), 8) &amp; "*", 'Price list'!F:F, 0)), ""))</f>
        <v>95030020</v>
      </c>
      <c r="J28" s="27">
        <f>IF(ISBLANK(A28), "", IFERROR(IF(ROUND(H28,2)=0.05, INDEX(discount!C:C, IFERROR(MATCH($A$5, discount!A:A, 0), IFERROR(MATCH("*" &amp; LEFT($A$5, 12) &amp; "*", discount!A:A, 0), MATCH("*" &amp; LEFT($A$5, 6) &amp; "*", discount!A:A, 0)))), IF(ROUND(H28,2)=0.18, INDEX(discount!E:E, IFERROR(MATCH($A$5, discount!A:A, 0), IFERROR(MATCH("*" &amp; LEFT($A$5, 12) &amp; "*", discount!A:A, 0), MATCH("*" &amp; LEFT($A$5, 6) &amp; "*", discount!A:A, 0)))), IF(ROUND(H28,2)=0.12, INDEX(discount!D:D, IFERROR(MATCH($A$5, discount!A:A, 0), IFERROR(MATCH("*" &amp; LEFT($A$5, 12) &amp; "*", discount!A:A, 0), MATCH("*" &amp; LEFT($A$5, 6) &amp; "*", discount!A:A, 0)))), IF(ROUND(H28,2)=0.28,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8" s="26">
        <f>IF(ISBLANK(A28), "", ROUND(G28*C28*J28,2))</f>
        <v>299.58999999999997</v>
      </c>
      <c r="L28" s="26">
        <f>IF(ISBLANK(A28), "", (G28*C28)-K28)</f>
        <v>399.41</v>
      </c>
      <c r="M28" s="24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4"/>
    </row>
    <row r="29" spans="1:14" x14ac:dyDescent="0.3">
      <c r="A29" s="24" t="s">
        <v>182</v>
      </c>
      <c r="B29" s="24" t="s">
        <v>302</v>
      </c>
      <c r="C29" s="24">
        <v>1</v>
      </c>
      <c r="D29" s="24">
        <v>0</v>
      </c>
      <c r="E29" s="24">
        <v>799</v>
      </c>
      <c r="F29" s="24" t="str">
        <f>IF(ISBLANK(A29), "", IFERROR(INDEX('Price list'!B:B, MATCH(LEFT(UPPER(SUBSTITUTE(A29, " ", "")), 8) &amp; "*", 'Price list'!F:F, 0)), ""))</f>
        <v>SMRT1347</v>
      </c>
      <c r="G29" s="24">
        <f>IF(ISBLANK(A29), "", IFERROR(INDEX('Price list'!C:C, MATCH(LEFT(UPPER(SUBSTITUTE(A29, " ", "")), 8) &amp; "*", 'Price list'!F:F, 0)), 0))</f>
        <v>799</v>
      </c>
      <c r="H29" s="24">
        <f>IF(ISBLANK(A29), "", IFERROR(INDEX('Price list'!E:E, MATCH(LEFT(UPPER(SUBSTITUTE(A29, " ", "")), 8) &amp; "*", 'Price list'!F:F, 0)), 0))</f>
        <v>0.05</v>
      </c>
      <c r="I29" s="24">
        <f>IF(ISBLANK(A29), "", IFERROR(INDEX('Price list'!D:D, MATCH(LEFT(UPPER(SUBSTITUTE(A29, " ", "")), 8) &amp; "*", 'Price list'!F:F, 0)), ""))</f>
        <v>95030020</v>
      </c>
      <c r="J29" s="25">
        <f>IF(ISBLANK(A29), "", IFERROR(IF(ROUND(H29,2)=0.05, INDEX(discount!C:C, IFERROR(MATCH($A$5, discount!A:A, 0), IFERROR(MATCH("*" &amp; LEFT($A$5, 12) &amp; "*", discount!A:A, 0), MATCH("*" &amp; LEFT($A$5, 6) &amp; "*", discount!A:A, 0)))), IF(ROUND(H29,2)=0.18, INDEX(discount!E:E, IFERROR(MATCH($A$5, discount!A:A, 0), IFERROR(MATCH("*" &amp; LEFT($A$5, 12) &amp; "*", discount!A:A, 0), MATCH("*" &amp; LEFT($A$5, 6) &amp; "*", discount!A:A, 0)))), IF(ROUND(H29,2)=0.12, INDEX(discount!D:D, IFERROR(MATCH($A$5, discount!A:A, 0), IFERROR(MATCH("*" &amp; LEFT($A$5, 12) &amp; "*", discount!A:A, 0), MATCH("*" &amp; LEFT($A$5, 6) &amp; "*", discount!A:A, 0)))), IF(ROUND(H29,2)=0.28,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9" s="24">
        <f>IF(ISBLANK(A29), "", ROUND(G29*C29*J29,2))</f>
        <v>342.45</v>
      </c>
      <c r="L29" s="24">
        <f>IF(ISBLANK(A29), "", (G29*C29)-K29)</f>
        <v>456.55</v>
      </c>
      <c r="M29" s="24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4"/>
    </row>
    <row r="30" spans="1:14" x14ac:dyDescent="0.3">
      <c r="A30" s="26" t="s">
        <v>183</v>
      </c>
      <c r="B30" s="26" t="s">
        <v>303</v>
      </c>
      <c r="C30" s="26">
        <v>1</v>
      </c>
      <c r="D30" s="26">
        <v>0</v>
      </c>
      <c r="E30" s="26">
        <v>799</v>
      </c>
      <c r="F30" s="26" t="str">
        <f>IF(ISBLANK(A30), "", IFERROR(INDEX('Price list'!B:B, MATCH(LEFT(UPPER(SUBSTITUTE(A30, " ", "")), 8) &amp; "*", 'Price list'!F:F, 0)), ""))</f>
        <v>SMRT1348</v>
      </c>
      <c r="G30" s="26">
        <f>IF(ISBLANK(A30), "", IFERROR(INDEX('Price list'!C:C, MATCH(LEFT(UPPER(SUBSTITUTE(A30, " ", "")), 8) &amp; "*", 'Price list'!F:F, 0)), 0))</f>
        <v>799</v>
      </c>
      <c r="H30" s="26">
        <f>IF(ISBLANK(A30), "", IFERROR(INDEX('Price list'!E:E, MATCH(LEFT(UPPER(SUBSTITUTE(A30, " ", "")), 8) &amp; "*", 'Price list'!F:F, 0)), 0))</f>
        <v>0.05</v>
      </c>
      <c r="I30" s="26">
        <f>IF(ISBLANK(A30), "", IFERROR(INDEX('Price list'!D:D, MATCH(LEFT(UPPER(SUBSTITUTE(A30, " ", "")), 8) &amp; "*", 'Price list'!F:F, 0)), ""))</f>
        <v>95030020</v>
      </c>
      <c r="J30" s="27">
        <f>IF(ISBLANK(A30), "", IFERROR(IF(ROUND(H30,2)=0.05, INDEX(discount!C:C, IFERROR(MATCH($A$5, discount!A:A, 0), IFERROR(MATCH("*" &amp; LEFT($A$5, 12) &amp; "*", discount!A:A, 0), MATCH("*" &amp; LEFT($A$5, 6) &amp; "*", discount!A:A, 0)))), IF(ROUND(H30,2)=0.18, INDEX(discount!E:E, IFERROR(MATCH($A$5, discount!A:A, 0), IFERROR(MATCH("*" &amp; LEFT($A$5, 12) &amp; "*", discount!A:A, 0), MATCH("*" &amp; LEFT($A$5, 6) &amp; "*", discount!A:A, 0)))), IF(ROUND(H30,2)=0.12, INDEX(discount!D:D, IFERROR(MATCH($A$5, discount!A:A, 0), IFERROR(MATCH("*" &amp; LEFT($A$5, 12) &amp; "*", discount!A:A, 0), MATCH("*" &amp; LEFT($A$5, 6) &amp; "*", discount!A:A, 0)))), IF(ROUND(H30,2)=0.28,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0" s="26">
        <f>IF(ISBLANK(A30), "", ROUND(G30*C30*J30,2))</f>
        <v>342.45</v>
      </c>
      <c r="L30" s="26">
        <f>IF(ISBLANK(A30), "", (G30*C30)-K30)</f>
        <v>456.55</v>
      </c>
      <c r="M30" s="24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4"/>
    </row>
    <row r="31" spans="1:14" x14ac:dyDescent="0.3">
      <c r="A31" s="24" t="s">
        <v>164</v>
      </c>
      <c r="B31" s="24" t="s">
        <v>304</v>
      </c>
      <c r="C31" s="24">
        <v>1</v>
      </c>
      <c r="D31" s="24">
        <v>0</v>
      </c>
      <c r="E31" s="24">
        <v>749</v>
      </c>
      <c r="F31" s="24" t="str">
        <f>IF(ISBLANK(A31), "", IFERROR(INDEX('Price list'!B:B, MATCH(LEFT(UPPER(SUBSTITUTE(A31, " ", "")), 8) &amp; "*", 'Price list'!F:F, 0)), ""))</f>
        <v>SMRT1321</v>
      </c>
      <c r="G31" s="24">
        <f>IF(ISBLANK(A31), "", IFERROR(INDEX('Price list'!C:C, MATCH(LEFT(UPPER(SUBSTITUTE(A31, " ", "")), 8) &amp; "*", 'Price list'!F:F, 0)), 0))</f>
        <v>749</v>
      </c>
      <c r="H31" s="24">
        <f>IF(ISBLANK(A31), "", IFERROR(INDEX('Price list'!E:E, MATCH(LEFT(UPPER(SUBSTITUTE(A31, " ", "")), 8) &amp; "*", 'Price list'!F:F, 0)), 0))</f>
        <v>0.05</v>
      </c>
      <c r="I31" s="24">
        <f>IF(ISBLANK(A31), "", IFERROR(INDEX('Price list'!D:D, MATCH(LEFT(UPPER(SUBSTITUTE(A31, " ", "")), 8) &amp; "*", 'Price list'!F:F, 0)), ""))</f>
        <v>95030020</v>
      </c>
      <c r="J31" s="25">
        <f>IF(ISBLANK(A31), "", IFERROR(IF(ROUND(H31,2)=0.05, INDEX(discount!C:C, IFERROR(MATCH($A$5, discount!A:A, 0), IFERROR(MATCH("*" &amp; LEFT($A$5, 12) &amp; "*", discount!A:A, 0), MATCH("*" &amp; LEFT($A$5, 6) &amp; "*", discount!A:A, 0)))), IF(ROUND(H31,2)=0.18, INDEX(discount!E:E, IFERROR(MATCH($A$5, discount!A:A, 0), IFERROR(MATCH("*" &amp; LEFT($A$5, 12) &amp; "*", discount!A:A, 0), MATCH("*" &amp; LEFT($A$5, 6) &amp; "*", discount!A:A, 0)))), IF(ROUND(H31,2)=0.12, INDEX(discount!D:D, IFERROR(MATCH($A$5, discount!A:A, 0), IFERROR(MATCH("*" &amp; LEFT($A$5, 12) &amp; "*", discount!A:A, 0), MATCH("*" &amp; LEFT($A$5, 6) &amp; "*", discount!A:A, 0)))), IF(ROUND(H31,2)=0.28,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1" s="24">
        <f>IF(ISBLANK(A31), "", ROUND(G31*C31*J31,2))</f>
        <v>321.02</v>
      </c>
      <c r="L31" s="24">
        <f>IF(ISBLANK(A31), "", (G31*C31)-K31)</f>
        <v>427.98</v>
      </c>
      <c r="M31" s="24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4"/>
    </row>
    <row r="32" spans="1:14" x14ac:dyDescent="0.3">
      <c r="A32" s="26" t="s">
        <v>121</v>
      </c>
      <c r="B32" s="26" t="s">
        <v>305</v>
      </c>
      <c r="C32" s="26">
        <v>1</v>
      </c>
      <c r="D32" s="26">
        <v>0</v>
      </c>
      <c r="E32" s="26">
        <v>819</v>
      </c>
      <c r="F32" s="26" t="str">
        <f>IF(ISBLANK(A32), "", IFERROR(INDEX('Price list'!B:B, MATCH(LEFT(UPPER(SUBSTITUTE(A32, " ", "")), 8) &amp; "*", 'Price list'!F:F, 0)), ""))</f>
        <v>SMRT1242 V2</v>
      </c>
      <c r="G32" s="26">
        <f>IF(ISBLANK(A32), "", IFERROR(INDEX('Price list'!C:C, MATCH(LEFT(UPPER(SUBSTITUTE(A32, " ", "")), 8) &amp; "*", 'Price list'!F:F, 0)), 0))</f>
        <v>819</v>
      </c>
      <c r="H32" s="26">
        <f>IF(ISBLANK(A32), "", IFERROR(INDEX('Price list'!E:E, MATCH(LEFT(UPPER(SUBSTITUTE(A32, " ", "")), 8) &amp; "*", 'Price list'!F:F, 0)), 0))</f>
        <v>0.05</v>
      </c>
      <c r="I32" s="26">
        <f>IF(ISBLANK(A32), "", IFERROR(INDEX('Price list'!D:D, MATCH(LEFT(UPPER(SUBSTITUTE(A32, " ", "")), 8) &amp; "*", 'Price list'!F:F, 0)), ""))</f>
        <v>95030020</v>
      </c>
      <c r="J32" s="27">
        <f>IF(ISBLANK(A32), "", IFERROR(IF(ROUND(H32,2)=0.05, INDEX(discount!C:C, IFERROR(MATCH($A$5, discount!A:A, 0), IFERROR(MATCH("*" &amp; LEFT($A$5, 12) &amp; "*", discount!A:A, 0), MATCH("*" &amp; LEFT($A$5, 6) &amp; "*", discount!A:A, 0)))), IF(ROUND(H32,2)=0.18, INDEX(discount!E:E, IFERROR(MATCH($A$5, discount!A:A, 0), IFERROR(MATCH("*" &amp; LEFT($A$5, 12) &amp; "*", discount!A:A, 0), MATCH("*" &amp; LEFT($A$5, 6) &amp; "*", discount!A:A, 0)))), IF(ROUND(H32,2)=0.12, INDEX(discount!D:D, IFERROR(MATCH($A$5, discount!A:A, 0), IFERROR(MATCH("*" &amp; LEFT($A$5, 12) &amp; "*", discount!A:A, 0), MATCH("*" &amp; LEFT($A$5, 6) &amp; "*", discount!A:A, 0)))), IF(ROUND(H32,2)=0.28,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2" s="26">
        <f>IF(ISBLANK(A32), "", ROUND(G32*C32*J32,2))</f>
        <v>351.02</v>
      </c>
      <c r="L32" s="26">
        <f>IF(ISBLANK(A32), "", (G32*C32)-K32)</f>
        <v>467.98</v>
      </c>
      <c r="M32" s="24" t="s">
        <v>306</v>
      </c>
      <c r="N32" s="24"/>
    </row>
    <row r="33" spans="1:14" x14ac:dyDescent="0.3">
      <c r="A33" s="24" t="s">
        <v>163</v>
      </c>
      <c r="B33" s="24" t="s">
        <v>307</v>
      </c>
      <c r="C33" s="24">
        <v>1</v>
      </c>
      <c r="D33" s="24">
        <v>0</v>
      </c>
      <c r="E33" s="24">
        <v>599</v>
      </c>
      <c r="F33" s="24" t="str">
        <f>IF(ISBLANK(A33), "", IFERROR(INDEX('Price list'!B:B, MATCH(LEFT(UPPER(SUBSTITUTE(A33, " ", "")), 8) &amp; "*", 'Price list'!F:F, 0)), ""))</f>
        <v>SMRT1320</v>
      </c>
      <c r="G33" s="24">
        <f>IF(ISBLANK(A33), "", IFERROR(INDEX('Price list'!C:C, MATCH(LEFT(UPPER(SUBSTITUTE(A33, " ", "")), 8) &amp; "*", 'Price list'!F:F, 0)), 0))</f>
        <v>599</v>
      </c>
      <c r="H33" s="24">
        <f>IF(ISBLANK(A33), "", IFERROR(INDEX('Price list'!E:E, MATCH(LEFT(UPPER(SUBSTITUTE(A33, " ", "")), 8) &amp; "*", 'Price list'!F:F, 0)), 0))</f>
        <v>0.05</v>
      </c>
      <c r="I33" s="24">
        <f>IF(ISBLANK(A33), "", IFERROR(INDEX('Price list'!D:D, MATCH(LEFT(UPPER(SUBSTITUTE(A33, " ", "")), 8) &amp; "*", 'Price list'!F:F, 0)), ""))</f>
        <v>95030020</v>
      </c>
      <c r="J33" s="25">
        <f>IF(ISBLANK(A33), "", IFERROR(IF(ROUND(H33,2)=0.05, INDEX(discount!C:C, IFERROR(MATCH($A$5, discount!A:A, 0), IFERROR(MATCH("*" &amp; LEFT($A$5, 12) &amp; "*", discount!A:A, 0), MATCH("*" &amp; LEFT($A$5, 6) &amp; "*", discount!A:A, 0)))), IF(ROUND(H33,2)=0.18, INDEX(discount!E:E, IFERROR(MATCH($A$5, discount!A:A, 0), IFERROR(MATCH("*" &amp; LEFT($A$5, 12) &amp; "*", discount!A:A, 0), MATCH("*" &amp; LEFT($A$5, 6) &amp; "*", discount!A:A, 0)))), IF(ROUND(H33,2)=0.12, INDEX(discount!D:D, IFERROR(MATCH($A$5, discount!A:A, 0), IFERROR(MATCH("*" &amp; LEFT($A$5, 12) &amp; "*", discount!A:A, 0), MATCH("*" &amp; LEFT($A$5, 6) &amp; "*", discount!A:A, 0)))), IF(ROUND(H33,2)=0.28,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3" s="24">
        <f>IF(ISBLANK(A33), "", ROUND(G33*C33*J33,2))</f>
        <v>256.73</v>
      </c>
      <c r="L33" s="24">
        <f>IF(ISBLANK(A33), "", (G33*C33)-K33)</f>
        <v>342.27</v>
      </c>
      <c r="M33" s="24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4"/>
    </row>
    <row r="34" spans="1:14" x14ac:dyDescent="0.3">
      <c r="A34" s="26" t="s">
        <v>172</v>
      </c>
      <c r="B34" s="26" t="s">
        <v>308</v>
      </c>
      <c r="C34" s="26">
        <v>1</v>
      </c>
      <c r="D34" s="26">
        <v>0</v>
      </c>
      <c r="E34" s="26">
        <v>699</v>
      </c>
      <c r="F34" s="26" t="str">
        <f>IF(ISBLANK(A34), "", IFERROR(INDEX('Price list'!B:B, MATCH(LEFT(UPPER(SUBSTITUTE(A34, " ", "")), 8) &amp; "*", 'Price list'!F:F, 0)), ""))</f>
        <v>SMRT1333</v>
      </c>
      <c r="G34" s="26">
        <f>IF(ISBLANK(A34), "", IFERROR(INDEX('Price list'!C:C, MATCH(LEFT(UPPER(SUBSTITUTE(A34, " ", "")), 8) &amp; "*", 'Price list'!F:F, 0)), 0))</f>
        <v>699</v>
      </c>
      <c r="H34" s="26">
        <f>IF(ISBLANK(A34), "", IFERROR(INDEX('Price list'!E:E, MATCH(LEFT(UPPER(SUBSTITUTE(A34, " ", "")), 8) &amp; "*", 'Price list'!F:F, 0)), 0))</f>
        <v>0.05</v>
      </c>
      <c r="I34" s="26">
        <f>IF(ISBLANK(A34), "", IFERROR(INDEX('Price list'!D:D, MATCH(LEFT(UPPER(SUBSTITUTE(A34, " ", "")), 8) &amp; "*", 'Price list'!F:F, 0)), ""))</f>
        <v>95030020</v>
      </c>
      <c r="J34" s="27">
        <f>IF(ISBLANK(A34), "", IFERROR(IF(ROUND(H34,2)=0.05, INDEX(discount!C:C, IFERROR(MATCH($A$5, discount!A:A, 0), IFERROR(MATCH("*" &amp; LEFT($A$5, 12) &amp; "*", discount!A:A, 0), MATCH("*" &amp; LEFT($A$5, 6) &amp; "*", discount!A:A, 0)))), IF(ROUND(H34,2)=0.18, INDEX(discount!E:E, IFERROR(MATCH($A$5, discount!A:A, 0), IFERROR(MATCH("*" &amp; LEFT($A$5, 12) &amp; "*", discount!A:A, 0), MATCH("*" &amp; LEFT($A$5, 6) &amp; "*", discount!A:A, 0)))), IF(ROUND(H34,2)=0.12, INDEX(discount!D:D, IFERROR(MATCH($A$5, discount!A:A, 0), IFERROR(MATCH("*" &amp; LEFT($A$5, 12) &amp; "*", discount!A:A, 0), MATCH("*" &amp; LEFT($A$5, 6) &amp; "*", discount!A:A, 0)))), IF(ROUND(H34,2)=0.28,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4" s="26">
        <f>IF(ISBLANK(A34), "", ROUND(G34*C34*J34,2))</f>
        <v>299.58999999999997</v>
      </c>
      <c r="L34" s="26">
        <f>IF(ISBLANK(A34), "", (G34*C34)-K34)</f>
        <v>399.41</v>
      </c>
      <c r="M34" s="24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4"/>
    </row>
    <row r="35" spans="1:14" x14ac:dyDescent="0.3">
      <c r="A35" s="24" t="s">
        <v>184</v>
      </c>
      <c r="B35" s="24" t="s">
        <v>309</v>
      </c>
      <c r="C35" s="24">
        <v>1</v>
      </c>
      <c r="D35" s="24">
        <v>0</v>
      </c>
      <c r="E35" s="24">
        <v>849</v>
      </c>
      <c r="F35" s="24" t="str">
        <f>IF(ISBLANK(A35), "", IFERROR(INDEX('Price list'!B:B, MATCH(LEFT(UPPER(SUBSTITUTE(A35, " ", "")), 8) &amp; "*", 'Price list'!F:F, 0)), ""))</f>
        <v>SMRT1364</v>
      </c>
      <c r="G35" s="24">
        <f>IF(ISBLANK(A35), "", IFERROR(INDEX('Price list'!C:C, MATCH(LEFT(UPPER(SUBSTITUTE(A35, " ", "")), 8) &amp; "*", 'Price list'!F:F, 0)), 0))</f>
        <v>849</v>
      </c>
      <c r="H35" s="24">
        <f>IF(ISBLANK(A35), "", IFERROR(INDEX('Price list'!E:E, MATCH(LEFT(UPPER(SUBSTITUTE(A35, " ", "")), 8) &amp; "*", 'Price list'!F:F, 0)), 0))</f>
        <v>0.05</v>
      </c>
      <c r="I35" s="24">
        <f>IF(ISBLANK(A35), "", IFERROR(INDEX('Price list'!D:D, MATCH(LEFT(UPPER(SUBSTITUTE(A35, " ", "")), 8) &amp; "*", 'Price list'!F:F, 0)), ""))</f>
        <v>95030020</v>
      </c>
      <c r="J35" s="25">
        <f>IF(ISBLANK(A35), "", IFERROR(IF(ROUND(H35,2)=0.05, INDEX(discount!C:C, IFERROR(MATCH($A$5, discount!A:A, 0), IFERROR(MATCH("*" &amp; LEFT($A$5, 12) &amp; "*", discount!A:A, 0), MATCH("*" &amp; LEFT($A$5, 6) &amp; "*", discount!A:A, 0)))), IF(ROUND(H35,2)=0.18, INDEX(discount!E:E, IFERROR(MATCH($A$5, discount!A:A, 0), IFERROR(MATCH("*" &amp; LEFT($A$5, 12) &amp; "*", discount!A:A, 0), MATCH("*" &amp; LEFT($A$5, 6) &amp; "*", discount!A:A, 0)))), IF(ROUND(H35,2)=0.12, INDEX(discount!D:D, IFERROR(MATCH($A$5, discount!A:A, 0), IFERROR(MATCH("*" &amp; LEFT($A$5, 12) &amp; "*", discount!A:A, 0), MATCH("*" &amp; LEFT($A$5, 6) &amp; "*", discount!A:A, 0)))), IF(ROUND(H35,2)=0.28,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5" s="24">
        <f>IF(ISBLANK(A35), "", ROUND(G35*C35*J35,2))</f>
        <v>363.88</v>
      </c>
      <c r="L35" s="24">
        <f>IF(ISBLANK(A35), "", (G35*C35)-K35)</f>
        <v>485.12</v>
      </c>
      <c r="M35" s="24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4"/>
    </row>
    <row r="36" spans="1:14" x14ac:dyDescent="0.3">
      <c r="A36" s="26" t="s">
        <v>177</v>
      </c>
      <c r="B36" s="26" t="s">
        <v>310</v>
      </c>
      <c r="C36" s="26">
        <v>1</v>
      </c>
      <c r="D36" s="26">
        <v>0</v>
      </c>
      <c r="E36" s="26">
        <v>699</v>
      </c>
      <c r="F36" s="26" t="str">
        <f>IF(ISBLANK(A36), "", IFERROR(INDEX('Price list'!B:B, MATCH(LEFT(UPPER(SUBSTITUTE(A36, " ", "")), 8) &amp; "*", 'Price list'!F:F, 0)), ""))</f>
        <v>SMRT1339</v>
      </c>
      <c r="G36" s="26">
        <f>IF(ISBLANK(A36), "", IFERROR(INDEX('Price list'!C:C, MATCH(LEFT(UPPER(SUBSTITUTE(A36, " ", "")), 8) &amp; "*", 'Price list'!F:F, 0)), 0))</f>
        <v>699</v>
      </c>
      <c r="H36" s="26">
        <f>IF(ISBLANK(A36), "", IFERROR(INDEX('Price list'!E:E, MATCH(LEFT(UPPER(SUBSTITUTE(A36, " ", "")), 8) &amp; "*", 'Price list'!F:F, 0)), 0))</f>
        <v>0.05</v>
      </c>
      <c r="I36" s="26">
        <f>IF(ISBLANK(A36), "", IFERROR(INDEX('Price list'!D:D, MATCH(LEFT(UPPER(SUBSTITUTE(A36, " ", "")), 8) &amp; "*", 'Price list'!F:F, 0)), ""))</f>
        <v>95030020</v>
      </c>
      <c r="J36" s="27">
        <f>IF(ISBLANK(A36), "", IFERROR(IF(ROUND(H36,2)=0.05, INDEX(discount!C:C, IFERROR(MATCH($A$5, discount!A:A, 0), IFERROR(MATCH("*" &amp; LEFT($A$5, 12) &amp; "*", discount!A:A, 0), MATCH("*" &amp; LEFT($A$5, 6) &amp; "*", discount!A:A, 0)))), IF(ROUND(H36,2)=0.18, INDEX(discount!E:E, IFERROR(MATCH($A$5, discount!A:A, 0), IFERROR(MATCH("*" &amp; LEFT($A$5, 12) &amp; "*", discount!A:A, 0), MATCH("*" &amp; LEFT($A$5, 6) &amp; "*", discount!A:A, 0)))), IF(ROUND(H36,2)=0.12, INDEX(discount!D:D, IFERROR(MATCH($A$5, discount!A:A, 0), IFERROR(MATCH("*" &amp; LEFT($A$5, 12) &amp; "*", discount!A:A, 0), MATCH("*" &amp; LEFT($A$5, 6) &amp; "*", discount!A:A, 0)))), IF(ROUND(H36,2)=0.28,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6" s="26">
        <f>IF(ISBLANK(A36), "", ROUND(G36*C36*J36,2))</f>
        <v>299.58999999999997</v>
      </c>
      <c r="L36" s="26">
        <f>IF(ISBLANK(A36), "", (G36*C36)-K36)</f>
        <v>399.41</v>
      </c>
      <c r="M36" s="24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4"/>
    </row>
    <row r="37" spans="1:14" x14ac:dyDescent="0.3">
      <c r="A37" s="24" t="s">
        <v>135</v>
      </c>
      <c r="B37" s="24" t="s">
        <v>311</v>
      </c>
      <c r="C37" s="24">
        <v>1</v>
      </c>
      <c r="D37" s="24">
        <v>0</v>
      </c>
      <c r="E37" s="24">
        <v>799</v>
      </c>
      <c r="F37" s="24" t="str">
        <f>IF(ISBLANK(A37), "", IFERROR(INDEX('Price list'!B:B, MATCH(LEFT(UPPER(SUBSTITUTE(A37, " ", "")), 8) &amp; "*", 'Price list'!F:F, 0)), ""))</f>
        <v>SMRT1273</v>
      </c>
      <c r="G37" s="24">
        <f>IF(ISBLANK(A37), "", IFERROR(INDEX('Price list'!C:C, MATCH(LEFT(UPPER(SUBSTITUTE(A37, " ", "")), 8) &amp; "*", 'Price list'!F:F, 0)), 0))</f>
        <v>799</v>
      </c>
      <c r="H37" s="24">
        <f>IF(ISBLANK(A37), "", IFERROR(INDEX('Price list'!E:E, MATCH(LEFT(UPPER(SUBSTITUTE(A37, " ", "")), 8) &amp; "*", 'Price list'!F:F, 0)), 0))</f>
        <v>0.05</v>
      </c>
      <c r="I37" s="24">
        <f>IF(ISBLANK(A37), "", IFERROR(INDEX('Price list'!D:D, MATCH(LEFT(UPPER(SUBSTITUTE(A37, " ", "")), 8) &amp; "*", 'Price list'!F:F, 0)), ""))</f>
        <v>95030020</v>
      </c>
      <c r="J37" s="25">
        <f>IF(ISBLANK(A37), "", IFERROR(IF(ROUND(H37,2)=0.05, INDEX(discount!C:C, IFERROR(MATCH($A$5, discount!A:A, 0), IFERROR(MATCH("*" &amp; LEFT($A$5, 12) &amp; "*", discount!A:A, 0), MATCH("*" &amp; LEFT($A$5, 6) &amp; "*", discount!A:A, 0)))), IF(ROUND(H37,2)=0.18, INDEX(discount!E:E, IFERROR(MATCH($A$5, discount!A:A, 0), IFERROR(MATCH("*" &amp; LEFT($A$5, 12) &amp; "*", discount!A:A, 0), MATCH("*" &amp; LEFT($A$5, 6) &amp; "*", discount!A:A, 0)))), IF(ROUND(H37,2)=0.12, INDEX(discount!D:D, IFERROR(MATCH($A$5, discount!A:A, 0), IFERROR(MATCH("*" &amp; LEFT($A$5, 12) &amp; "*", discount!A:A, 0), MATCH("*" &amp; LEFT($A$5, 6) &amp; "*", discount!A:A, 0)))), IF(ROUND(H37,2)=0.28,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7" s="24">
        <f>IF(ISBLANK(A37), "", ROUND(G37*C37*J37,2))</f>
        <v>342.45</v>
      </c>
      <c r="L37" s="24">
        <f>IF(ISBLANK(A37), "", (G37*C37)-K37)</f>
        <v>456.55</v>
      </c>
      <c r="M37" s="24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4"/>
    </row>
    <row r="38" spans="1:14" ht="15" thickBot="1" x14ac:dyDescent="0.35">
      <c r="A38" s="26" t="s">
        <v>156</v>
      </c>
      <c r="B38" s="26" t="s">
        <v>312</v>
      </c>
      <c r="C38" s="26">
        <v>1</v>
      </c>
      <c r="D38" s="26">
        <v>0</v>
      </c>
      <c r="E38" s="26">
        <v>1149</v>
      </c>
      <c r="F38" s="26" t="str">
        <f>IF(ISBLANK(A38), "", IFERROR(INDEX('Price list'!B:B, MATCH(LEFT(UPPER(SUBSTITUTE(A38, " ", "")), 8) &amp; "*", 'Price list'!F:F, 0)), ""))</f>
        <v>SMRT1303</v>
      </c>
      <c r="G38" s="26">
        <f>IF(ISBLANK(A38), "", IFERROR(INDEX('Price list'!C:C, MATCH(LEFT(UPPER(SUBSTITUTE(A38, " ", "")), 8) &amp; "*", 'Price list'!F:F, 0)), 0))</f>
        <v>1149</v>
      </c>
      <c r="H38" s="26">
        <f>IF(ISBLANK(A38), "", IFERROR(INDEX('Price list'!E:E, MATCH(LEFT(UPPER(SUBSTITUTE(A38, " ", "")), 8) &amp; "*", 'Price list'!F:F, 0)), 0))</f>
        <v>0.05</v>
      </c>
      <c r="I38" s="26">
        <f>IF(ISBLANK(A38), "", IFERROR(INDEX('Price list'!D:D, MATCH(LEFT(UPPER(SUBSTITUTE(A38, " ", "")), 8) &amp; "*", 'Price list'!F:F, 0)), ""))</f>
        <v>95030020</v>
      </c>
      <c r="J38" s="27">
        <f>IF(ISBLANK(A38), "", IFERROR(IF(ROUND(H38,2)=0.05, INDEX(discount!C:C, IFERROR(MATCH($A$5, discount!A:A, 0), IFERROR(MATCH("*" &amp; LEFT($A$5, 12) &amp; "*", discount!A:A, 0), MATCH("*" &amp; LEFT($A$5, 6) &amp; "*", discount!A:A, 0)))), IF(ROUND(H38,2)=0.18, INDEX(discount!E:E, IFERROR(MATCH($A$5, discount!A:A, 0), IFERROR(MATCH("*" &amp; LEFT($A$5, 12) &amp; "*", discount!A:A, 0), MATCH("*" &amp; LEFT($A$5, 6) &amp; "*", discount!A:A, 0)))), IF(ROUND(H38,2)=0.12, INDEX(discount!D:D, IFERROR(MATCH($A$5, discount!A:A, 0), IFERROR(MATCH("*" &amp; LEFT($A$5, 12) &amp; "*", discount!A:A, 0), MATCH("*" &amp; LEFT($A$5, 6) &amp; "*", discount!A:A, 0)))), IF(ROUND(H38,2)=0.28,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8" s="26">
        <f>IF(ISBLANK(A38), "", ROUND(G38*C38*J38,2))</f>
        <v>492.46</v>
      </c>
      <c r="L38" s="26">
        <f>IF(ISBLANK(A38), "", (G38*C38)-K38)</f>
        <v>656.54</v>
      </c>
      <c r="M38" s="24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4"/>
    </row>
    <row r="39" spans="1:14" ht="17.399999999999999" thickBot="1" x14ac:dyDescent="0.45">
      <c r="A39" s="8" t="s">
        <v>313</v>
      </c>
      <c r="B39" s="8"/>
      <c r="C39" s="7">
        <f>SUM(C11:C38)</f>
        <v>28</v>
      </c>
      <c r="D39" s="7">
        <f>SUM(D11:D38)</f>
        <v>0</v>
      </c>
      <c r="E39" s="7"/>
      <c r="F39" s="7"/>
      <c r="G39" s="7"/>
      <c r="H39" s="7"/>
      <c r="I39" s="7"/>
      <c r="J39" s="7"/>
      <c r="K39" s="7">
        <f>SUM(K11:K38)</f>
        <v>11084.07</v>
      </c>
      <c r="L39" s="7">
        <f>SUM(L11:L38)</f>
        <v>14307.929999999997</v>
      </c>
      <c r="M39" s="24"/>
      <c r="N39" s="24"/>
    </row>
    <row r="40" spans="1:14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</row>
    <row r="41" spans="1:14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</row>
    <row r="42" spans="1:14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</row>
    <row r="43" spans="1:14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</row>
    <row r="44" spans="1:14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</row>
    <row r="45" spans="1:14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</row>
    <row r="46" spans="1:14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</row>
    <row r="47" spans="1:14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</row>
    <row r="48" spans="1:14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</row>
    <row r="49" spans="1:14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  <row r="50" spans="1:14" x14ac:dyDescent="0.3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</row>
    <row r="51" spans="1:14" x14ac:dyDescent="0.3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</row>
    <row r="52" spans="1:14" x14ac:dyDescent="0.3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</row>
    <row r="53" spans="1:14" x14ac:dyDescent="0.3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</row>
    <row r="54" spans="1:14" x14ac:dyDescent="0.3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</row>
    <row r="55" spans="1:14" x14ac:dyDescent="0.3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</row>
    <row r="56" spans="1:14" x14ac:dyDescent="0.3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</row>
    <row r="57" spans="1:14" x14ac:dyDescent="0.3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</row>
    <row r="58" spans="1:14" x14ac:dyDescent="0.3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</row>
    <row r="59" spans="1:14" x14ac:dyDescent="0.3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</row>
    <row r="60" spans="1:14" x14ac:dyDescent="0.3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</row>
    <row r="61" spans="1:14" x14ac:dyDescent="0.3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</row>
    <row r="62" spans="1:14" x14ac:dyDescent="0.3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</row>
    <row r="63" spans="1:14" x14ac:dyDescent="0.3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</row>
    <row r="64" spans="1:14" x14ac:dyDescent="0.3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</row>
    <row r="65" spans="1:14" x14ac:dyDescent="0.3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</row>
    <row r="66" spans="1:14" x14ac:dyDescent="0.3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</row>
    <row r="67" spans="1:14" x14ac:dyDescent="0.3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</row>
    <row r="68" spans="1:14" x14ac:dyDescent="0.3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</row>
    <row r="69" spans="1:14" x14ac:dyDescent="0.3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</row>
    <row r="70" spans="1:14" x14ac:dyDescent="0.3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</row>
    <row r="71" spans="1:14" x14ac:dyDescent="0.3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</row>
    <row r="72" spans="1:14" x14ac:dyDescent="0.3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</row>
    <row r="73" spans="1:14" x14ac:dyDescent="0.3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</row>
    <row r="74" spans="1:14" x14ac:dyDescent="0.3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</row>
    <row r="75" spans="1:14" x14ac:dyDescent="0.3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</row>
    <row r="76" spans="1:14" x14ac:dyDescent="0.3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</row>
    <row r="77" spans="1:14" x14ac:dyDescent="0.3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</row>
    <row r="78" spans="1:14" x14ac:dyDescent="0.3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</row>
    <row r="79" spans="1:14" x14ac:dyDescent="0.3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</row>
    <row r="80" spans="1:14" x14ac:dyDescent="0.3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</row>
    <row r="81" spans="1:14" x14ac:dyDescent="0.3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</row>
    <row r="82" spans="1:14" x14ac:dyDescent="0.3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</row>
    <row r="83" spans="1:14" x14ac:dyDescent="0.3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</row>
    <row r="84" spans="1:14" x14ac:dyDescent="0.3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</row>
    <row r="85" spans="1:14" x14ac:dyDescent="0.3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</row>
    <row r="86" spans="1:14" x14ac:dyDescent="0.3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</row>
    <row r="87" spans="1:14" x14ac:dyDescent="0.3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</row>
    <row r="88" spans="1:14" x14ac:dyDescent="0.3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</row>
    <row r="89" spans="1:14" x14ac:dyDescent="0.3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</row>
    <row r="90" spans="1:14" x14ac:dyDescent="0.3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</row>
    <row r="91" spans="1:14" x14ac:dyDescent="0.3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</row>
    <row r="92" spans="1:14" x14ac:dyDescent="0.3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</row>
    <row r="93" spans="1:14" x14ac:dyDescent="0.3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</row>
    <row r="94" spans="1:14" x14ac:dyDescent="0.3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</row>
    <row r="95" spans="1:14" x14ac:dyDescent="0.3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</row>
    <row r="96" spans="1:14" x14ac:dyDescent="0.3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</row>
    <row r="97" spans="1:14" x14ac:dyDescent="0.3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</row>
    <row r="98" spans="1:14" x14ac:dyDescent="0.3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</row>
    <row r="99" spans="1:14" x14ac:dyDescent="0.3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</row>
    <row r="100" spans="1:14" x14ac:dyDescent="0.3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</row>
    <row r="101" spans="1:14" x14ac:dyDescent="0.3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</row>
    <row r="102" spans="1:14" x14ac:dyDescent="0.3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</row>
    <row r="103" spans="1:14" x14ac:dyDescent="0.3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</row>
    <row r="104" spans="1:14" x14ac:dyDescent="0.3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</row>
    <row r="105" spans="1:14" x14ac:dyDescent="0.3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</row>
    <row r="106" spans="1:14" x14ac:dyDescent="0.3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</row>
    <row r="107" spans="1:14" x14ac:dyDescent="0.3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</row>
    <row r="108" spans="1:14" x14ac:dyDescent="0.3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</row>
    <row r="109" spans="1:14" x14ac:dyDescent="0.3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</row>
    <row r="110" spans="1:14" x14ac:dyDescent="0.3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</row>
    <row r="111" spans="1:14" x14ac:dyDescent="0.3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</row>
    <row r="112" spans="1:14" x14ac:dyDescent="0.3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</row>
    <row r="113" spans="1:14" x14ac:dyDescent="0.3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</row>
    <row r="114" spans="1:14" x14ac:dyDescent="0.3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</row>
    <row r="115" spans="1:14" x14ac:dyDescent="0.3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</row>
    <row r="116" spans="1:14" x14ac:dyDescent="0.3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</row>
    <row r="117" spans="1:14" x14ac:dyDescent="0.3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</row>
    <row r="118" spans="1:14" x14ac:dyDescent="0.3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</row>
    <row r="119" spans="1:14" x14ac:dyDescent="0.3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</row>
    <row r="120" spans="1:14" x14ac:dyDescent="0.3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</row>
    <row r="121" spans="1:14" x14ac:dyDescent="0.3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</row>
    <row r="122" spans="1:14" x14ac:dyDescent="0.3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</row>
    <row r="123" spans="1:14" x14ac:dyDescent="0.3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</row>
    <row r="124" spans="1:14" x14ac:dyDescent="0.3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</row>
    <row r="125" spans="1:14" x14ac:dyDescent="0.3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</row>
    <row r="126" spans="1:14" x14ac:dyDescent="0.3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</row>
    <row r="127" spans="1:14" x14ac:dyDescent="0.3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</row>
    <row r="128" spans="1:14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</row>
    <row r="129" spans="1:14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</row>
    <row r="130" spans="1:14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</row>
    <row r="131" spans="1:14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</row>
    <row r="132" spans="1:14" x14ac:dyDescent="0.3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</row>
    <row r="133" spans="1:14" x14ac:dyDescent="0.3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</row>
    <row r="134" spans="1:14" x14ac:dyDescent="0.3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</row>
    <row r="135" spans="1:14" x14ac:dyDescent="0.3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</row>
    <row r="136" spans="1:14" x14ac:dyDescent="0.3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</row>
    <row r="137" spans="1:14" x14ac:dyDescent="0.3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</row>
    <row r="138" spans="1:14" x14ac:dyDescent="0.3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</row>
    <row r="139" spans="1:14" x14ac:dyDescent="0.3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</row>
    <row r="140" spans="1:14" x14ac:dyDescent="0.3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</row>
    <row r="141" spans="1:14" x14ac:dyDescent="0.3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</row>
    <row r="142" spans="1:14" x14ac:dyDescent="0.3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</row>
    <row r="143" spans="1:14" x14ac:dyDescent="0.3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</row>
    <row r="144" spans="1:14" x14ac:dyDescent="0.3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</row>
    <row r="145" spans="1:14" x14ac:dyDescent="0.3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</row>
    <row r="146" spans="1:14" x14ac:dyDescent="0.3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</row>
    <row r="147" spans="1:14" x14ac:dyDescent="0.3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</row>
    <row r="148" spans="1:14" x14ac:dyDescent="0.3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</row>
    <row r="149" spans="1:14" x14ac:dyDescent="0.3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</row>
    <row r="150" spans="1:14" x14ac:dyDescent="0.3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</row>
    <row r="151" spans="1:14" x14ac:dyDescent="0.3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</row>
    <row r="152" spans="1:14" x14ac:dyDescent="0.3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</row>
    <row r="153" spans="1:14" x14ac:dyDescent="0.3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</row>
    <row r="154" spans="1:14" x14ac:dyDescent="0.3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</row>
    <row r="155" spans="1:14" x14ac:dyDescent="0.3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</row>
    <row r="156" spans="1:14" x14ac:dyDescent="0.3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</row>
    <row r="157" spans="1:14" x14ac:dyDescent="0.3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</row>
    <row r="158" spans="1:14" x14ac:dyDescent="0.3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</row>
    <row r="159" spans="1:14" x14ac:dyDescent="0.3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</row>
    <row r="160" spans="1:14" x14ac:dyDescent="0.3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</row>
    <row r="161" spans="1:14" x14ac:dyDescent="0.3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</row>
    <row r="162" spans="1:14" x14ac:dyDescent="0.3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</row>
    <row r="163" spans="1:14" x14ac:dyDescent="0.3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</row>
    <row r="164" spans="1:14" x14ac:dyDescent="0.3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</row>
    <row r="165" spans="1:14" x14ac:dyDescent="0.3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</row>
    <row r="166" spans="1:14" x14ac:dyDescent="0.3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</row>
    <row r="167" spans="1:14" x14ac:dyDescent="0.3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</row>
    <row r="168" spans="1:14" x14ac:dyDescent="0.3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</row>
    <row r="169" spans="1:14" x14ac:dyDescent="0.3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</row>
    <row r="170" spans="1:14" x14ac:dyDescent="0.3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</row>
    <row r="171" spans="1:14" x14ac:dyDescent="0.3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</row>
    <row r="172" spans="1:14" x14ac:dyDescent="0.3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</row>
    <row r="173" spans="1:14" x14ac:dyDescent="0.3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</row>
    <row r="174" spans="1:14" x14ac:dyDescent="0.3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</row>
    <row r="175" spans="1:14" x14ac:dyDescent="0.3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</row>
    <row r="176" spans="1:14" x14ac:dyDescent="0.3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</row>
    <row r="177" spans="1:14" x14ac:dyDescent="0.3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</row>
    <row r="178" spans="1:14" x14ac:dyDescent="0.3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</row>
    <row r="179" spans="1:14" x14ac:dyDescent="0.3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</row>
    <row r="180" spans="1:14" x14ac:dyDescent="0.3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</row>
    <row r="181" spans="1:14" x14ac:dyDescent="0.3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</row>
    <row r="182" spans="1:14" x14ac:dyDescent="0.3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</row>
    <row r="183" spans="1:14" x14ac:dyDescent="0.3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</row>
    <row r="184" spans="1:14" x14ac:dyDescent="0.3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</row>
    <row r="185" spans="1:14" x14ac:dyDescent="0.3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</row>
    <row r="186" spans="1:14" x14ac:dyDescent="0.3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</row>
    <row r="187" spans="1:14" x14ac:dyDescent="0.3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</row>
    <row r="188" spans="1:14" x14ac:dyDescent="0.3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</row>
    <row r="189" spans="1:14" x14ac:dyDescent="0.3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</row>
    <row r="190" spans="1:14" x14ac:dyDescent="0.3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</row>
    <row r="191" spans="1:14" x14ac:dyDescent="0.3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</row>
    <row r="192" spans="1:14" x14ac:dyDescent="0.3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</row>
    <row r="193" spans="1:14" x14ac:dyDescent="0.3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</row>
    <row r="194" spans="1:14" x14ac:dyDescent="0.3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</row>
    <row r="195" spans="1:14" x14ac:dyDescent="0.3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</row>
    <row r="196" spans="1:14" x14ac:dyDescent="0.3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</row>
    <row r="197" spans="1:14" x14ac:dyDescent="0.3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</row>
    <row r="198" spans="1:14" x14ac:dyDescent="0.3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</row>
    <row r="199" spans="1:14" x14ac:dyDescent="0.3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</row>
    <row r="200" spans="1:14" x14ac:dyDescent="0.3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</row>
  </sheetData>
  <mergeCells count="12">
    <mergeCell ref="A39:B3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expression" dxfId="3" priority="1" stopIfTrue="1">
      <formula>ISNUMBER(SEARCH("OK", M11))</formula>
    </cfRule>
    <cfRule type="expression" dxfId="2" priority="2" stopIfTrue="1">
      <formula>OR(ISNUMBER(SEARCH("Auto-matched", M11)), ISNUMBER(SEARCH("Auto-Corrected", M11)))</formula>
    </cfRule>
    <cfRule type="expression" dxfId="1" priority="3" stopIfTrue="1">
      <formula>ISNUMBER(SEARCH("Price Mismatch", M11))</formula>
    </cfRule>
    <cfRule type="expression" dxfId="0" priority="4" stopIfTrue="1">
      <formula>ISNUMBER(SEARCH("SKU not found", M11))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selection activeCell="G8" sqref="G8"/>
    </sheetView>
  </sheetViews>
  <sheetFormatPr defaultRowHeight="14.4" x14ac:dyDescent="0.3"/>
  <sheetData>
    <row r="1" spans="1:11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282</v>
      </c>
      <c r="H1" t="s">
        <v>278</v>
      </c>
      <c r="I1" t="s">
        <v>279</v>
      </c>
      <c r="J1" t="s">
        <v>280</v>
      </c>
      <c r="K1" t="s">
        <v>281</v>
      </c>
    </row>
    <row r="2" spans="1:11" x14ac:dyDescent="0.3">
      <c r="A2" t="s">
        <v>14</v>
      </c>
      <c r="C2">
        <v>1</v>
      </c>
      <c r="D2">
        <v>1349</v>
      </c>
      <c r="E2">
        <v>42.86</v>
      </c>
      <c r="G2">
        <v>5</v>
      </c>
    </row>
    <row r="3" spans="1:11" x14ac:dyDescent="0.3">
      <c r="A3" t="s">
        <v>74</v>
      </c>
      <c r="C3">
        <v>1</v>
      </c>
      <c r="D3">
        <v>1249</v>
      </c>
      <c r="E3">
        <v>42.86</v>
      </c>
      <c r="G3">
        <v>5</v>
      </c>
    </row>
    <row r="4" spans="1:11" x14ac:dyDescent="0.3">
      <c r="A4" t="s">
        <v>78</v>
      </c>
      <c r="C4">
        <v>1</v>
      </c>
      <c r="D4">
        <v>1549</v>
      </c>
      <c r="E4">
        <v>42.86</v>
      </c>
      <c r="G4">
        <v>5</v>
      </c>
    </row>
    <row r="5" spans="1:11" x14ac:dyDescent="0.3">
      <c r="A5" t="s">
        <v>81</v>
      </c>
      <c r="C5">
        <v>1</v>
      </c>
      <c r="D5">
        <v>849</v>
      </c>
      <c r="E5">
        <v>42.86</v>
      </c>
      <c r="G5">
        <v>5</v>
      </c>
    </row>
    <row r="6" spans="1:11" x14ac:dyDescent="0.3">
      <c r="A6" t="s">
        <v>173</v>
      </c>
      <c r="C6">
        <v>1</v>
      </c>
      <c r="D6">
        <v>1149</v>
      </c>
      <c r="E6">
        <v>42.86</v>
      </c>
      <c r="G6">
        <v>5</v>
      </c>
    </row>
    <row r="7" spans="1:11" x14ac:dyDescent="0.3">
      <c r="A7" t="s">
        <v>168</v>
      </c>
      <c r="C7">
        <v>1</v>
      </c>
      <c r="D7">
        <v>899</v>
      </c>
      <c r="E7">
        <v>42.86</v>
      </c>
      <c r="G7">
        <v>5</v>
      </c>
    </row>
    <row r="8" spans="1:11" x14ac:dyDescent="0.3">
      <c r="A8" t="s">
        <v>90</v>
      </c>
      <c r="C8">
        <v>1</v>
      </c>
      <c r="D8">
        <v>919</v>
      </c>
      <c r="E8">
        <v>42.86</v>
      </c>
      <c r="G8">
        <v>5</v>
      </c>
    </row>
    <row r="9" spans="1:11" x14ac:dyDescent="0.3">
      <c r="A9" t="s">
        <v>55</v>
      </c>
      <c r="C9">
        <v>1</v>
      </c>
      <c r="D9">
        <v>529</v>
      </c>
      <c r="E9">
        <v>42.86</v>
      </c>
      <c r="G9">
        <v>5</v>
      </c>
    </row>
    <row r="10" spans="1:11" x14ac:dyDescent="0.3">
      <c r="A10" t="s">
        <v>60</v>
      </c>
      <c r="C10">
        <v>1</v>
      </c>
      <c r="D10">
        <v>549</v>
      </c>
      <c r="E10">
        <v>42.86</v>
      </c>
      <c r="G10">
        <v>5</v>
      </c>
    </row>
    <row r="11" spans="1:11" x14ac:dyDescent="0.3">
      <c r="A11" t="s">
        <v>140</v>
      </c>
      <c r="C11">
        <v>1</v>
      </c>
      <c r="D11">
        <v>849</v>
      </c>
      <c r="E11">
        <v>42.86</v>
      </c>
      <c r="G11">
        <v>5</v>
      </c>
    </row>
    <row r="12" spans="1:11" x14ac:dyDescent="0.3">
      <c r="A12" t="s">
        <v>155</v>
      </c>
      <c r="C12">
        <v>1</v>
      </c>
      <c r="D12">
        <v>999</v>
      </c>
      <c r="E12">
        <v>49.15</v>
      </c>
      <c r="G12">
        <v>18</v>
      </c>
    </row>
    <row r="13" spans="1:11" x14ac:dyDescent="0.3">
      <c r="A13" t="s">
        <v>158</v>
      </c>
      <c r="C13">
        <v>1</v>
      </c>
      <c r="D13">
        <v>799</v>
      </c>
      <c r="E13">
        <v>42.86</v>
      </c>
      <c r="G13">
        <v>5</v>
      </c>
    </row>
    <row r="14" spans="1:11" x14ac:dyDescent="0.3">
      <c r="A14" t="s">
        <v>138</v>
      </c>
      <c r="C14">
        <v>1</v>
      </c>
      <c r="D14">
        <v>649</v>
      </c>
      <c r="E14">
        <v>42.86</v>
      </c>
      <c r="G14">
        <v>5</v>
      </c>
    </row>
    <row r="15" spans="1:11" x14ac:dyDescent="0.3">
      <c r="A15" t="s">
        <v>141</v>
      </c>
      <c r="C15">
        <v>1</v>
      </c>
      <c r="D15">
        <v>1099</v>
      </c>
      <c r="E15">
        <v>42.86</v>
      </c>
      <c r="G15">
        <v>5</v>
      </c>
    </row>
    <row r="16" spans="1:11" x14ac:dyDescent="0.3">
      <c r="A16" t="s">
        <v>98</v>
      </c>
      <c r="C16">
        <v>1</v>
      </c>
      <c r="D16">
        <v>1099</v>
      </c>
      <c r="E16">
        <v>42.86</v>
      </c>
      <c r="G16">
        <v>5</v>
      </c>
    </row>
    <row r="17" spans="1:7" x14ac:dyDescent="0.3">
      <c r="A17" t="s">
        <v>103</v>
      </c>
      <c r="C17">
        <v>1</v>
      </c>
      <c r="D17">
        <v>1099</v>
      </c>
      <c r="E17">
        <v>49.15</v>
      </c>
      <c r="G17">
        <v>18</v>
      </c>
    </row>
    <row r="18" spans="1:7" x14ac:dyDescent="0.3">
      <c r="A18" t="s">
        <v>115</v>
      </c>
      <c r="C18">
        <v>1</v>
      </c>
      <c r="D18">
        <v>1099</v>
      </c>
      <c r="E18">
        <v>49.15</v>
      </c>
      <c r="G18">
        <v>18</v>
      </c>
    </row>
    <row r="19" spans="1:7" x14ac:dyDescent="0.3">
      <c r="A19" t="s">
        <v>175</v>
      </c>
      <c r="C19">
        <v>1</v>
      </c>
      <c r="D19">
        <v>699</v>
      </c>
      <c r="E19">
        <v>42.86</v>
      </c>
      <c r="G19">
        <v>5</v>
      </c>
    </row>
    <row r="20" spans="1:7" x14ac:dyDescent="0.3">
      <c r="A20" t="s">
        <v>182</v>
      </c>
      <c r="C20">
        <v>1</v>
      </c>
      <c r="D20">
        <v>799</v>
      </c>
      <c r="E20">
        <v>42.86</v>
      </c>
      <c r="G20">
        <v>5</v>
      </c>
    </row>
    <row r="21" spans="1:7" x14ac:dyDescent="0.3">
      <c r="A21" t="s">
        <v>183</v>
      </c>
      <c r="C21">
        <v>1</v>
      </c>
      <c r="D21">
        <v>799</v>
      </c>
      <c r="E21">
        <v>42.86</v>
      </c>
      <c r="G21">
        <v>5</v>
      </c>
    </row>
    <row r="22" spans="1:7" x14ac:dyDescent="0.3">
      <c r="A22" t="s">
        <v>164</v>
      </c>
      <c r="C22">
        <v>1</v>
      </c>
      <c r="D22">
        <v>749</v>
      </c>
      <c r="E22">
        <v>42.86</v>
      </c>
      <c r="G22">
        <v>5</v>
      </c>
    </row>
    <row r="23" spans="1:7" x14ac:dyDescent="0.3">
      <c r="A23" t="s">
        <v>121</v>
      </c>
      <c r="C23">
        <v>1</v>
      </c>
      <c r="D23">
        <v>819</v>
      </c>
      <c r="E23">
        <v>42.86</v>
      </c>
      <c r="G23">
        <v>5</v>
      </c>
    </row>
    <row r="24" spans="1:7" x14ac:dyDescent="0.3">
      <c r="A24" t="s">
        <v>163</v>
      </c>
      <c r="C24">
        <v>1</v>
      </c>
      <c r="D24">
        <v>599</v>
      </c>
      <c r="E24">
        <v>42.86</v>
      </c>
      <c r="G24">
        <v>5</v>
      </c>
    </row>
    <row r="25" spans="1:7" x14ac:dyDescent="0.3">
      <c r="A25" t="s">
        <v>172</v>
      </c>
      <c r="C25">
        <v>1</v>
      </c>
      <c r="D25">
        <v>699</v>
      </c>
      <c r="E25">
        <v>42.86</v>
      </c>
      <c r="G25">
        <v>5</v>
      </c>
    </row>
    <row r="26" spans="1:7" x14ac:dyDescent="0.3">
      <c r="A26" t="s">
        <v>184</v>
      </c>
      <c r="C26">
        <v>1</v>
      </c>
      <c r="D26">
        <v>849</v>
      </c>
      <c r="E26">
        <v>42.86</v>
      </c>
      <c r="G26">
        <v>5</v>
      </c>
    </row>
    <row r="27" spans="1:7" x14ac:dyDescent="0.3">
      <c r="A27" t="s">
        <v>177</v>
      </c>
      <c r="C27">
        <v>1</v>
      </c>
      <c r="D27">
        <v>699</v>
      </c>
      <c r="E27">
        <v>42.86</v>
      </c>
      <c r="G27">
        <v>5</v>
      </c>
    </row>
    <row r="28" spans="1:7" x14ac:dyDescent="0.3">
      <c r="A28" t="s">
        <v>135</v>
      </c>
      <c r="C28">
        <v>1</v>
      </c>
      <c r="D28">
        <v>799</v>
      </c>
      <c r="E28">
        <v>42.86</v>
      </c>
      <c r="G28">
        <v>5</v>
      </c>
    </row>
    <row r="29" spans="1:7" x14ac:dyDescent="0.3">
      <c r="A29" t="s">
        <v>156</v>
      </c>
      <c r="C29">
        <v>1</v>
      </c>
      <c r="D29">
        <v>1149</v>
      </c>
      <c r="E29">
        <v>42.86</v>
      </c>
      <c r="G29">
        <v>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">
      <c r="A57" t="s">
        <v>314</v>
      </c>
      <c r="B57" t="s">
        <v>314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2026-09-15T11:20:56Z</dcterms:modified>
</cp:coreProperties>
</file>